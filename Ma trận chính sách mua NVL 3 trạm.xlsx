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tg-my.sharepoint.com/personal/luuthiminhtam_duytangroup_com/Documents/01. MINH TAM/02. DT Recycle/12. DỮ LIỆU KẾ TOÁN QUẢN TRỊ/01.BÁO CÁO/02. CUNG ỨNG - HUYỀN/Chính sách hỗ trợ NCC đồng hành/"/>
    </mc:Choice>
  </mc:AlternateContent>
  <xr:revisionPtr revIDLastSave="981" documentId="13_ncr:1_{BC2CCD2D-9A15-4C14-87CA-1E33C49BE6BE}" xr6:coauthVersionLast="47" xr6:coauthVersionMax="47" xr10:uidLastSave="{65C1D3CE-D7E7-4522-BA20-4AFDC29FD7BB}"/>
  <bookViews>
    <workbookView xWindow="-110" yWindow="-110" windowWidth="19420" windowHeight="10300" firstSheet="3" activeTab="4" xr2:uid="{1CF392B7-CF17-4151-9AA4-4634220947CF}"/>
  </bookViews>
  <sheets>
    <sheet name="DM" sheetId="6" r:id="rId1"/>
    <sheet name="I. TỔNG HỢP" sheetId="1" r:id="rId2"/>
    <sheet name="1. CS Hỗ trợ vận chuyển" sheetId="2" r:id="rId3"/>
    <sheet name="2.1. Thưởng NCC - ver1" sheetId="5" r:id="rId4"/>
    <sheet name="2.2 Thưởng NCC - ver2" sheetId="13" r:id="rId5"/>
    <sheet name="3. DS NCC Trạm" sheetId="11" r:id="rId6"/>
    <sheet name="Bảng tính T2" sheetId="10" r:id="rId7"/>
    <sheet name="Bảng tính T1" sheetId="14" r:id="rId8"/>
    <sheet name="Tóm tắt" sheetId="7" state="hidden" r:id="rId9"/>
  </sheets>
  <definedNames>
    <definedName name="_xlnm._FilterDatabase" localSheetId="2" hidden="1">'1. CS Hỗ trợ vận chuyển'!$A$7:$H$42</definedName>
    <definedName name="_xlnm.Print_Area" localSheetId="7">'Bảng tính T1'!$A$1:$O$43</definedName>
    <definedName name="_xlnm.Print_Area" localSheetId="6">'Bảng tính T2'!$A$1:$O$41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U27" i="5" l="1"/>
  <c r="A55" i="13"/>
  <c r="A54" i="13"/>
  <c r="A53" i="13"/>
  <c r="A52" i="13"/>
  <c r="A51" i="13"/>
  <c r="A50" i="13"/>
  <c r="A49" i="13"/>
  <c r="A48" i="13"/>
  <c r="A47" i="13"/>
  <c r="A46" i="13"/>
  <c r="A45" i="13"/>
  <c r="A43" i="13"/>
  <c r="A42" i="13"/>
  <c r="A41" i="13"/>
  <c r="A40" i="13"/>
  <c r="A39" i="13"/>
  <c r="A38" i="13"/>
  <c r="A37" i="13"/>
  <c r="A36" i="13"/>
  <c r="T56" i="13"/>
  <c r="S56" i="13"/>
  <c r="O55" i="13"/>
  <c r="I55" i="13" a="1"/>
  <c r="I55" i="13" s="1"/>
  <c r="R55" i="13" s="1"/>
  <c r="H55" i="13" a="1"/>
  <c r="H55" i="13" s="1"/>
  <c r="G55" i="13" a="1"/>
  <c r="G55" i="13" s="1"/>
  <c r="O54" i="13"/>
  <c r="I54" i="13" a="1"/>
  <c r="I54" i="13" s="1"/>
  <c r="R54" i="13" s="1"/>
  <c r="H54" i="13" a="1"/>
  <c r="H54" i="13" s="1"/>
  <c r="G54" i="13" a="1"/>
  <c r="G54" i="13" s="1"/>
  <c r="T41" i="13"/>
  <c r="S41" i="13"/>
  <c r="T40" i="13"/>
  <c r="S40" i="13"/>
  <c r="O50" i="13"/>
  <c r="I50" i="13" a="1"/>
  <c r="I50" i="13" s="1"/>
  <c r="R50" i="13" s="1"/>
  <c r="H50" i="13" a="1"/>
  <c r="H50" i="13" s="1"/>
  <c r="G50" i="13" a="1"/>
  <c r="G50" i="13" s="1"/>
  <c r="O49" i="13"/>
  <c r="I49" i="13" a="1"/>
  <c r="I49" i="13" s="1"/>
  <c r="R49" i="13" s="1"/>
  <c r="H49" i="13" a="1"/>
  <c r="H49" i="13" s="1"/>
  <c r="G49" i="13" a="1"/>
  <c r="G49" i="13" s="1"/>
  <c r="O48" i="13"/>
  <c r="I48" i="13" a="1"/>
  <c r="I48" i="13" s="1"/>
  <c r="R48" i="13" s="1"/>
  <c r="H48" i="13" a="1"/>
  <c r="H48" i="13" s="1"/>
  <c r="G48" i="13" a="1"/>
  <c r="G48" i="13" s="1"/>
  <c r="O53" i="13"/>
  <c r="O52" i="13"/>
  <c r="O51" i="13"/>
  <c r="O47" i="13"/>
  <c r="O46" i="13"/>
  <c r="O45" i="13"/>
  <c r="O43" i="13"/>
  <c r="O41" i="13"/>
  <c r="O40" i="13"/>
  <c r="O39" i="13"/>
  <c r="O38" i="13"/>
  <c r="O37" i="13"/>
  <c r="O36" i="13"/>
  <c r="O34" i="13"/>
  <c r="R34" i="13" s="1"/>
  <c r="O33" i="13"/>
  <c r="R33" i="13" s="1"/>
  <c r="O32" i="13"/>
  <c r="O31" i="13"/>
  <c r="O30" i="13"/>
  <c r="O29" i="13"/>
  <c r="O28" i="13"/>
  <c r="O27" i="13"/>
  <c r="O26" i="13"/>
  <c r="O25" i="13"/>
  <c r="O24" i="13"/>
  <c r="O23" i="13"/>
  <c r="O22" i="13"/>
  <c r="O21" i="13"/>
  <c r="O20" i="13"/>
  <c r="O19" i="13"/>
  <c r="O18" i="13"/>
  <c r="O17" i="13"/>
  <c r="O16" i="13"/>
  <c r="O15" i="13"/>
  <c r="O14" i="13"/>
  <c r="O13" i="13"/>
  <c r="O12" i="13"/>
  <c r="O11" i="13"/>
  <c r="O10" i="13"/>
  <c r="O9" i="13"/>
  <c r="O8" i="13"/>
  <c r="O7" i="13"/>
  <c r="O6" i="13"/>
  <c r="O42" i="13"/>
  <c r="I53" i="13" a="1"/>
  <c r="I53" i="13" s="1"/>
  <c r="R53" i="13" s="1"/>
  <c r="H53" i="13" a="1"/>
  <c r="H53" i="13" s="1"/>
  <c r="G53" i="13" a="1"/>
  <c r="G53" i="13" s="1"/>
  <c r="I52" i="13" a="1"/>
  <c r="I52" i="13" s="1"/>
  <c r="R52" i="13" s="1"/>
  <c r="H52" i="13" a="1"/>
  <c r="H52" i="13" s="1"/>
  <c r="G52" i="13" a="1"/>
  <c r="G52" i="13" s="1"/>
  <c r="I51" i="13" a="1"/>
  <c r="I51" i="13" s="1"/>
  <c r="R51" i="13" s="1"/>
  <c r="H51" i="13" a="1"/>
  <c r="H51" i="13" s="1"/>
  <c r="G51" i="13" a="1"/>
  <c r="G51" i="13" s="1"/>
  <c r="I47" i="13" a="1"/>
  <c r="I47" i="13" s="1"/>
  <c r="R47" i="13" s="1"/>
  <c r="H47" i="13" a="1"/>
  <c r="H47" i="13" s="1"/>
  <c r="G47" i="13" a="1"/>
  <c r="G47" i="13" s="1"/>
  <c r="I46" i="13" a="1"/>
  <c r="I46" i="13" s="1"/>
  <c r="H46" i="13" a="1"/>
  <c r="H46" i="13" s="1"/>
  <c r="G46" i="13" a="1"/>
  <c r="G46" i="13" s="1"/>
  <c r="I45" i="13" a="1"/>
  <c r="I45" i="13" s="1"/>
  <c r="H45" i="13" a="1"/>
  <c r="H45" i="13" s="1"/>
  <c r="H56" i="13" s="1"/>
  <c r="G45" i="13" a="1"/>
  <c r="G45" i="13" s="1"/>
  <c r="G56" i="13" s="1"/>
  <c r="N34" i="13"/>
  <c r="Q34" i="13" s="1"/>
  <c r="U34" i="13" s="1"/>
  <c r="N33" i="13"/>
  <c r="Q33" i="13" s="1"/>
  <c r="U33" i="13" s="1"/>
  <c r="I43" i="13" a="1"/>
  <c r="I43" i="13" s="1"/>
  <c r="R43" i="13" s="1"/>
  <c r="H43" i="13" a="1"/>
  <c r="H43" i="13" s="1"/>
  <c r="G43" i="13" a="1"/>
  <c r="G43" i="13" s="1"/>
  <c r="I42" i="13" a="1"/>
  <c r="I42" i="13" s="1"/>
  <c r="H42" i="13" a="1"/>
  <c r="H42" i="13" s="1"/>
  <c r="G42" i="13" a="1"/>
  <c r="G42" i="13" s="1"/>
  <c r="I41" i="13" a="1"/>
  <c r="I41" i="13" s="1"/>
  <c r="R41" i="13" s="1"/>
  <c r="H41" i="13" a="1"/>
  <c r="H41" i="13" s="1"/>
  <c r="G41" i="13" a="1"/>
  <c r="G41" i="13" s="1"/>
  <c r="I40" i="13" a="1"/>
  <c r="I40" i="13" s="1"/>
  <c r="H40" i="13" a="1"/>
  <c r="H40" i="13" s="1"/>
  <c r="G40" i="13" a="1"/>
  <c r="G40" i="13" s="1"/>
  <c r="I39" i="13" a="1"/>
  <c r="I39" i="13" s="1"/>
  <c r="H39" i="13" a="1"/>
  <c r="H39" i="13" s="1"/>
  <c r="G39" i="13" a="1"/>
  <c r="G39" i="13" s="1"/>
  <c r="I38" i="13" a="1"/>
  <c r="I38" i="13" s="1"/>
  <c r="H38" i="13" a="1"/>
  <c r="H38" i="13" s="1"/>
  <c r="G38" i="13" a="1"/>
  <c r="G38" i="13" s="1"/>
  <c r="I37" i="13" a="1"/>
  <c r="I37" i="13" s="1"/>
  <c r="H37" i="13" a="1"/>
  <c r="H37" i="13" s="1"/>
  <c r="G37" i="13" a="1"/>
  <c r="G37" i="13" s="1"/>
  <c r="I36" i="13" a="1"/>
  <c r="I36" i="13" s="1"/>
  <c r="I44" i="13" s="1"/>
  <c r="H36" i="13" a="1"/>
  <c r="H36" i="13" s="1"/>
  <c r="H44" i="13" s="1"/>
  <c r="G36" i="13" a="1"/>
  <c r="G36" i="13" s="1"/>
  <c r="G44" i="13" s="1"/>
  <c r="A24" i="13"/>
  <c r="A25" i="13"/>
  <c r="A26" i="13"/>
  <c r="A27" i="13"/>
  <c r="A28" i="13"/>
  <c r="A29" i="13"/>
  <c r="A30" i="13"/>
  <c r="A31" i="13"/>
  <c r="A32" i="13"/>
  <c r="A33" i="13"/>
  <c r="A34" i="13"/>
  <c r="T35" i="13"/>
  <c r="S35" i="13"/>
  <c r="I23" i="13" a="1"/>
  <c r="I23" i="13" s="1"/>
  <c r="I22" i="13" a="1"/>
  <c r="I22" i="13" s="1"/>
  <c r="I21" i="13" a="1"/>
  <c r="I21" i="13" s="1"/>
  <c r="I20" i="13" a="1"/>
  <c r="I20" i="13" s="1"/>
  <c r="I19" i="13" a="1"/>
  <c r="I19" i="13" s="1"/>
  <c r="I18" i="13" a="1"/>
  <c r="I18" i="13" s="1"/>
  <c r="I17" i="13" a="1"/>
  <c r="I17" i="13" s="1"/>
  <c r="I16" i="13" a="1"/>
  <c r="I16" i="13" s="1"/>
  <c r="I15" i="13" a="1"/>
  <c r="I15" i="13" s="1"/>
  <c r="I14" i="13" a="1"/>
  <c r="I14" i="13" s="1"/>
  <c r="I13" i="13" a="1"/>
  <c r="I13" i="13" s="1"/>
  <c r="I12" i="13" a="1"/>
  <c r="I12" i="13" s="1"/>
  <c r="I11" i="13" a="1"/>
  <c r="I11" i="13" s="1"/>
  <c r="I10" i="13" a="1"/>
  <c r="I10" i="13" s="1"/>
  <c r="I9" i="13" a="1"/>
  <c r="I9" i="13" s="1"/>
  <c r="I8" i="13" a="1"/>
  <c r="I8" i="13" s="1"/>
  <c r="I7" i="13" a="1"/>
  <c r="I7" i="13" s="1"/>
  <c r="I6" i="13" a="1"/>
  <c r="I6" i="13" s="1"/>
  <c r="I32" i="13" a="1"/>
  <c r="I32" i="13" s="1"/>
  <c r="I31" i="13" a="1"/>
  <c r="I31" i="13" s="1"/>
  <c r="R31" i="13" s="1"/>
  <c r="I30" i="13" a="1"/>
  <c r="I30" i="13" s="1"/>
  <c r="I29" i="13" a="1"/>
  <c r="I29" i="13" s="1"/>
  <c r="R29" i="13" s="1"/>
  <c r="I28" i="13" a="1"/>
  <c r="I28" i="13" s="1"/>
  <c r="R28" i="13" s="1"/>
  <c r="I27" i="13" a="1"/>
  <c r="I27" i="13" s="1"/>
  <c r="R27" i="13" s="1"/>
  <c r="I26" i="13" a="1"/>
  <c r="I26" i="13" s="1"/>
  <c r="R26" i="13" s="1"/>
  <c r="I25" i="13" a="1"/>
  <c r="I25" i="13" s="1"/>
  <c r="R25" i="13" s="1"/>
  <c r="I24" i="13" a="1"/>
  <c r="I24" i="13" s="1"/>
  <c r="R24" i="13" s="1"/>
  <c r="AO23" i="5"/>
  <c r="AN23" i="5"/>
  <c r="AM23" i="5"/>
  <c r="AL23" i="5"/>
  <c r="AK23" i="5"/>
  <c r="AJ23" i="5"/>
  <c r="AI23" i="5"/>
  <c r="AH23" i="5"/>
  <c r="AG23" i="5"/>
  <c r="AO19" i="5"/>
  <c r="AN19" i="5"/>
  <c r="AM19" i="5"/>
  <c r="AL19" i="5"/>
  <c r="AK19" i="5"/>
  <c r="AJ19" i="5"/>
  <c r="AI19" i="5"/>
  <c r="AH19" i="5"/>
  <c r="AG19" i="5"/>
  <c r="AO16" i="5"/>
  <c r="AO24" i="5" s="1"/>
  <c r="AN16" i="5"/>
  <c r="AN24" i="5" s="1"/>
  <c r="AM16" i="5"/>
  <c r="AM24" i="5" s="1"/>
  <c r="AL16" i="5"/>
  <c r="AL24" i="5" s="1"/>
  <c r="AK16" i="5"/>
  <c r="AK24" i="5" s="1"/>
  <c r="AJ16" i="5"/>
  <c r="AJ24" i="5" s="1"/>
  <c r="AI16" i="5"/>
  <c r="AI24" i="5" s="1"/>
  <c r="AH16" i="5"/>
  <c r="AH24" i="5" s="1"/>
  <c r="AG16" i="5"/>
  <c r="AG24" i="5" s="1"/>
  <c r="AB23" i="5"/>
  <c r="AB19" i="5"/>
  <c r="AB16" i="5"/>
  <c r="AC23" i="5"/>
  <c r="AA23" i="5"/>
  <c r="Z23" i="5"/>
  <c r="AC19" i="5"/>
  <c r="AA19" i="5"/>
  <c r="Z19" i="5"/>
  <c r="AC16" i="5"/>
  <c r="AA16" i="5"/>
  <c r="AA24" i="5" s="1"/>
  <c r="Z16" i="5"/>
  <c r="Y23" i="5"/>
  <c r="X23" i="5"/>
  <c r="W23" i="5"/>
  <c r="Y19" i="5"/>
  <c r="X19" i="5"/>
  <c r="W19" i="5"/>
  <c r="Y16" i="5"/>
  <c r="Y24" i="5" s="1"/>
  <c r="X16" i="5"/>
  <c r="X24" i="5" s="1"/>
  <c r="W16" i="5"/>
  <c r="W24" i="5" s="1"/>
  <c r="AE23" i="5"/>
  <c r="AD23" i="5"/>
  <c r="V23" i="5"/>
  <c r="U23" i="5"/>
  <c r="S23" i="5"/>
  <c r="R23" i="5"/>
  <c r="Q23" i="5"/>
  <c r="P23" i="5"/>
  <c r="O23" i="5"/>
  <c r="N23" i="5"/>
  <c r="M23" i="5"/>
  <c r="L23" i="5"/>
  <c r="K23" i="5"/>
  <c r="J23" i="5"/>
  <c r="I23" i="5"/>
  <c r="H23" i="5"/>
  <c r="G23" i="5"/>
  <c r="F23" i="5"/>
  <c r="AP23" i="5" s="1"/>
  <c r="AF19" i="5"/>
  <c r="AE19" i="5"/>
  <c r="AD19" i="5"/>
  <c r="V19" i="5"/>
  <c r="U19" i="5"/>
  <c r="T19" i="5"/>
  <c r="S19" i="5"/>
  <c r="R19" i="5"/>
  <c r="Q19" i="5"/>
  <c r="P19" i="5"/>
  <c r="O19" i="5"/>
  <c r="N19" i="5"/>
  <c r="M19" i="5"/>
  <c r="L19" i="5"/>
  <c r="K19" i="5"/>
  <c r="J19" i="5"/>
  <c r="I19" i="5"/>
  <c r="H19" i="5"/>
  <c r="G19" i="5"/>
  <c r="F19" i="5"/>
  <c r="AF16" i="5"/>
  <c r="AE16" i="5"/>
  <c r="AE24" i="5" s="1"/>
  <c r="AD16" i="5"/>
  <c r="AD24" i="5" s="1"/>
  <c r="V16" i="5"/>
  <c r="V24" i="5" s="1"/>
  <c r="U16" i="5"/>
  <c r="U24" i="5" s="1"/>
  <c r="S16" i="5"/>
  <c r="S24" i="5" s="1"/>
  <c r="R16" i="5"/>
  <c r="R24" i="5" s="1"/>
  <c r="Q16" i="5"/>
  <c r="Q24" i="5" s="1"/>
  <c r="P16" i="5"/>
  <c r="P24" i="5" s="1"/>
  <c r="O16" i="5"/>
  <c r="O24" i="5" s="1"/>
  <c r="N16" i="5"/>
  <c r="N24" i="5" s="1"/>
  <c r="M16" i="5"/>
  <c r="M24" i="5" s="1"/>
  <c r="L16" i="5"/>
  <c r="L24" i="5" s="1"/>
  <c r="K16" i="5"/>
  <c r="K24" i="5" s="1"/>
  <c r="J16" i="5"/>
  <c r="J24" i="5" s="1"/>
  <c r="I16" i="5"/>
  <c r="I24" i="5" s="1"/>
  <c r="H16" i="5"/>
  <c r="H24" i="5" s="1"/>
  <c r="G16" i="5"/>
  <c r="G24" i="5" s="1"/>
  <c r="F16" i="5"/>
  <c r="BS16" i="5"/>
  <c r="BR16" i="5"/>
  <c r="BQ16" i="5"/>
  <c r="BP16" i="5"/>
  <c r="BO16" i="5"/>
  <c r="BN16" i="5"/>
  <c r="BS23" i="5"/>
  <c r="BR23" i="5"/>
  <c r="BQ23" i="5"/>
  <c r="BP23" i="5"/>
  <c r="BO23" i="5"/>
  <c r="BN23" i="5"/>
  <c r="T8" i="5"/>
  <c r="T7" i="5"/>
  <c r="T9" i="5"/>
  <c r="T15" i="5"/>
  <c r="CE22" i="5"/>
  <c r="CE21" i="5"/>
  <c r="CI20" i="5"/>
  <c r="CE20" i="5"/>
  <c r="AF22" i="5"/>
  <c r="AF23" i="5" s="1"/>
  <c r="T22" i="5"/>
  <c r="BF22" i="5"/>
  <c r="BE22" i="5"/>
  <c r="BL22" i="5" s="1"/>
  <c r="BD22" i="5"/>
  <c r="BK22" i="5" s="1"/>
  <c r="AQ22" i="5"/>
  <c r="BB22" i="5" s="1"/>
  <c r="BI22" i="5" s="1"/>
  <c r="AP22" i="5"/>
  <c r="BA22" i="5" s="1"/>
  <c r="BH22" i="5" s="1"/>
  <c r="AQ21" i="5"/>
  <c r="BB21" i="5" s="1"/>
  <c r="BI21" i="5" s="1"/>
  <c r="AP21" i="5"/>
  <c r="BA21" i="5" s="1"/>
  <c r="BH21" i="5" s="1"/>
  <c r="T21" i="5"/>
  <c r="T23" i="5" s="1"/>
  <c r="CI17" i="5"/>
  <c r="CE17" i="5"/>
  <c r="CI18" i="5"/>
  <c r="CE18" i="5"/>
  <c r="AY18" i="5"/>
  <c r="AY17" i="5"/>
  <c r="BF21" i="5"/>
  <c r="BM21" i="5" s="1"/>
  <c r="BE21" i="5"/>
  <c r="BL21" i="5" s="1"/>
  <c r="BD21" i="5"/>
  <c r="BK21" i="5" s="1"/>
  <c r="T13" i="5"/>
  <c r="T12" i="5"/>
  <c r="T11" i="5"/>
  <c r="T10" i="5"/>
  <c r="R32" i="13" l="1"/>
  <c r="I56" i="13"/>
  <c r="J55" i="13"/>
  <c r="N55" i="13" s="1"/>
  <c r="Q55" i="13" s="1"/>
  <c r="U55" i="13" s="1"/>
  <c r="J54" i="13"/>
  <c r="N54" i="13" s="1"/>
  <c r="Q54" i="13" s="1"/>
  <c r="U54" i="13" s="1"/>
  <c r="J50" i="13"/>
  <c r="N50" i="13" s="1"/>
  <c r="Q50" i="13" s="1"/>
  <c r="U50" i="13" s="1"/>
  <c r="J49" i="13"/>
  <c r="N49" i="13" s="1"/>
  <c r="Q49" i="13" s="1"/>
  <c r="U49" i="13" s="1"/>
  <c r="J48" i="13"/>
  <c r="N48" i="13" s="1"/>
  <c r="Q48" i="13" s="1"/>
  <c r="U48" i="13" s="1"/>
  <c r="J51" i="13"/>
  <c r="R42" i="13"/>
  <c r="J53" i="13"/>
  <c r="N53" i="13" s="1"/>
  <c r="Q53" i="13" s="1"/>
  <c r="U53" i="13" s="1"/>
  <c r="J52" i="13"/>
  <c r="J47" i="13"/>
  <c r="J46" i="13"/>
  <c r="J45" i="13"/>
  <c r="N45" i="13" s="1"/>
  <c r="N51" i="13"/>
  <c r="Q51" i="13" s="1"/>
  <c r="U51" i="13" s="1"/>
  <c r="N46" i="13"/>
  <c r="N52" i="13"/>
  <c r="Q52" i="13" s="1"/>
  <c r="U52" i="13" s="1"/>
  <c r="N47" i="13"/>
  <c r="Q47" i="13" s="1"/>
  <c r="U47" i="13" s="1"/>
  <c r="J43" i="13"/>
  <c r="N43" i="13" s="1"/>
  <c r="Q43" i="13" s="1"/>
  <c r="U43" i="13" s="1"/>
  <c r="J42" i="13"/>
  <c r="N42" i="13" s="1"/>
  <c r="Q42" i="13" s="1"/>
  <c r="U42" i="13" s="1"/>
  <c r="J41" i="13"/>
  <c r="N41" i="13" s="1"/>
  <c r="Q41" i="13" s="1"/>
  <c r="U41" i="13" s="1"/>
  <c r="J40" i="13"/>
  <c r="N40" i="13" s="1"/>
  <c r="J39" i="13"/>
  <c r="J38" i="13"/>
  <c r="J37" i="13"/>
  <c r="J36" i="13"/>
  <c r="I35" i="13"/>
  <c r="R30" i="13"/>
  <c r="F24" i="5"/>
  <c r="G23" i="13" a="1"/>
  <c r="G23" i="13" s="1"/>
  <c r="G14" i="13" a="1"/>
  <c r="G14" i="13" s="1"/>
  <c r="G9" i="13" a="1"/>
  <c r="G9" i="13" s="1"/>
  <c r="G18" i="13" a="1"/>
  <c r="G18" i="13" s="1"/>
  <c r="G26" i="13" a="1"/>
  <c r="G26" i="13" s="1"/>
  <c r="G12" i="13" a="1"/>
  <c r="G12" i="13" s="1"/>
  <c r="G16" i="13" a="1"/>
  <c r="G16" i="13" s="1"/>
  <c r="G28" i="13" a="1"/>
  <c r="G28" i="13" s="1"/>
  <c r="G22" i="13" a="1"/>
  <c r="G22" i="13" s="1"/>
  <c r="G31" i="13" a="1"/>
  <c r="G31" i="13" s="1"/>
  <c r="G20" i="13" a="1"/>
  <c r="G20" i="13" s="1"/>
  <c r="G8" i="13" a="1"/>
  <c r="G8" i="13" s="1"/>
  <c r="G25" i="13" a="1"/>
  <c r="G25" i="13" s="1"/>
  <c r="G17" i="13" a="1"/>
  <c r="G17" i="13" s="1"/>
  <c r="G30" i="13" a="1"/>
  <c r="G30" i="13" s="1"/>
  <c r="G21" i="13" a="1"/>
  <c r="G21" i="13" s="1"/>
  <c r="G15" i="13" a="1"/>
  <c r="G15" i="13" s="1"/>
  <c r="G29" i="13" a="1"/>
  <c r="G29" i="13" s="1"/>
  <c r="G11" i="13" a="1"/>
  <c r="G11" i="13" s="1"/>
  <c r="G6" i="13" a="1"/>
  <c r="G6" i="13" s="1"/>
  <c r="G32" i="13" a="1"/>
  <c r="G32" i="13" s="1"/>
  <c r="G7" i="13" a="1"/>
  <c r="G7" i="13" s="1"/>
  <c r="G24" i="13" a="1"/>
  <c r="G24" i="13" s="1"/>
  <c r="G19" i="13" a="1"/>
  <c r="G19" i="13" s="1"/>
  <c r="G13" i="13" a="1"/>
  <c r="G13" i="13" s="1"/>
  <c r="G10" i="13" a="1"/>
  <c r="G10" i="13" s="1"/>
  <c r="G27" i="13" a="1"/>
  <c r="G27" i="13" s="1"/>
  <c r="AR7" i="5"/>
  <c r="AB24" i="5"/>
  <c r="AC24" i="5"/>
  <c r="Z24" i="5"/>
  <c r="T16" i="5"/>
  <c r="AF24" i="5"/>
  <c r="T24" i="5"/>
  <c r="AR24" i="5" s="1"/>
  <c r="BV21" i="5"/>
  <c r="BV22" i="5"/>
  <c r="BU22" i="5"/>
  <c r="BU21" i="5"/>
  <c r="AR22" i="5"/>
  <c r="BC22" i="5" s="1"/>
  <c r="BJ22" i="5" s="1"/>
  <c r="CI22" i="5"/>
  <c r="AR21" i="5"/>
  <c r="BC21" i="5" s="1"/>
  <c r="CI21" i="5"/>
  <c r="CM22" i="5"/>
  <c r="CN22" i="5" s="1"/>
  <c r="CM21" i="5"/>
  <c r="CN21" i="5" s="1"/>
  <c r="CM20" i="5"/>
  <c r="CN20" i="5" s="1"/>
  <c r="CM18" i="5"/>
  <c r="CN18" i="5" s="1"/>
  <c r="CM17" i="5"/>
  <c r="CN17" i="5" s="1"/>
  <c r="BM22" i="5"/>
  <c r="BJ21" i="5"/>
  <c r="BW21" i="5" s="1"/>
  <c r="L40" i="13"/>
  <c r="AR23" i="5"/>
  <c r="AR20" i="5"/>
  <c r="BC20" i="5" s="1"/>
  <c r="BJ20" i="5" s="1"/>
  <c r="BJ23" i="5" s="1"/>
  <c r="AR19" i="5"/>
  <c r="AR18" i="5"/>
  <c r="BC18" i="5" s="1"/>
  <c r="BJ18" i="5" s="1"/>
  <c r="AR17" i="5"/>
  <c r="BC17" i="5" s="1"/>
  <c r="BJ17" i="5" s="1"/>
  <c r="BJ19" i="5" s="1"/>
  <c r="AR15" i="5"/>
  <c r="BC15" i="5" s="1"/>
  <c r="BJ15" i="5" s="1"/>
  <c r="AR14" i="5"/>
  <c r="BC14" i="5" s="1"/>
  <c r="BJ14" i="5" s="1"/>
  <c r="AR13" i="5"/>
  <c r="BC13" i="5" s="1"/>
  <c r="BJ13" i="5" s="1"/>
  <c r="AR12" i="5"/>
  <c r="BC12" i="5" s="1"/>
  <c r="BJ12" i="5" s="1"/>
  <c r="AR11" i="5"/>
  <c r="BC11" i="5" s="1"/>
  <c r="BJ11" i="5" s="1"/>
  <c r="AR10" i="5"/>
  <c r="BC10" i="5" s="1"/>
  <c r="BJ10" i="5" s="1"/>
  <c r="AR9" i="5"/>
  <c r="BC9" i="5" s="1"/>
  <c r="BJ9" i="5" s="1"/>
  <c r="AR8" i="5"/>
  <c r="BC8" i="5" s="1"/>
  <c r="BJ8" i="5" s="1"/>
  <c r="BC7" i="5"/>
  <c r="BS18" i="5"/>
  <c r="BS19" i="5" s="1"/>
  <c r="BS24" i="5" s="1"/>
  <c r="BP18" i="5"/>
  <c r="BP19" i="5" s="1"/>
  <c r="BP24" i="5" s="1"/>
  <c r="BF20" i="5"/>
  <c r="BM20" i="5" s="1"/>
  <c r="BM23" i="5" s="1"/>
  <c r="BF18" i="5"/>
  <c r="BM18" i="5" s="1"/>
  <c r="BF17" i="5"/>
  <c r="BM17" i="5" s="1"/>
  <c r="BF15" i="5"/>
  <c r="BM15" i="5" s="1"/>
  <c r="BF14" i="5"/>
  <c r="BM14" i="5" s="1"/>
  <c r="BF13" i="5"/>
  <c r="BM13" i="5" s="1"/>
  <c r="BF12" i="5"/>
  <c r="BM12" i="5" s="1"/>
  <c r="BF11" i="5"/>
  <c r="BM11" i="5" s="1"/>
  <c r="BF10" i="5"/>
  <c r="BM10" i="5" s="1"/>
  <c r="BF9" i="5"/>
  <c r="BM9" i="5" s="1"/>
  <c r="BF8" i="5"/>
  <c r="BM8" i="5" s="1"/>
  <c r="BF7" i="5"/>
  <c r="G35" i="13" l="1"/>
  <c r="AR16" i="5"/>
  <c r="H18" i="13" a="1"/>
  <c r="H18" i="13" s="1"/>
  <c r="J18" i="13" s="1"/>
  <c r="H24" i="13" a="1"/>
  <c r="H24" i="13" s="1"/>
  <c r="J24" i="13" s="1"/>
  <c r="N24" i="13" s="1"/>
  <c r="Q24" i="13" s="1"/>
  <c r="U24" i="13" s="1"/>
  <c r="H29" i="13" a="1"/>
  <c r="H29" i="13" s="1"/>
  <c r="J29" i="13" s="1"/>
  <c r="N29" i="13" s="1"/>
  <c r="Q29" i="13" s="1"/>
  <c r="U29" i="13" s="1"/>
  <c r="H21" i="13" a="1"/>
  <c r="H21" i="13" s="1"/>
  <c r="J21" i="13" s="1"/>
  <c r="H13" i="13" a="1"/>
  <c r="H13" i="13" s="1"/>
  <c r="J13" i="13" s="1"/>
  <c r="H19" i="13" a="1"/>
  <c r="H19" i="13" s="1"/>
  <c r="J19" i="13" s="1"/>
  <c r="H26" i="13" a="1"/>
  <c r="H26" i="13" s="1"/>
  <c r="J26" i="13" s="1"/>
  <c r="N26" i="13" s="1"/>
  <c r="Q26" i="13" s="1"/>
  <c r="U26" i="13" s="1"/>
  <c r="H30" i="13" a="1"/>
  <c r="H30" i="13" s="1"/>
  <c r="H32" i="13" a="1"/>
  <c r="H32" i="13" s="1"/>
  <c r="J32" i="13" s="1"/>
  <c r="N32" i="13" s="1"/>
  <c r="Q32" i="13" s="1"/>
  <c r="U32" i="13" s="1"/>
  <c r="H14" i="13" a="1"/>
  <c r="H14" i="13" s="1"/>
  <c r="J14" i="13" s="1"/>
  <c r="H8" i="13" a="1"/>
  <c r="H8" i="13" s="1"/>
  <c r="J8" i="13" s="1"/>
  <c r="H25" i="13" a="1"/>
  <c r="H25" i="13" s="1"/>
  <c r="J25" i="13" s="1"/>
  <c r="N25" i="13" s="1"/>
  <c r="Q25" i="13" s="1"/>
  <c r="U25" i="13" s="1"/>
  <c r="H28" i="13" a="1"/>
  <c r="H28" i="13" s="1"/>
  <c r="J28" i="13" s="1"/>
  <c r="N28" i="13" s="1"/>
  <c r="Q28" i="13" s="1"/>
  <c r="U28" i="13" s="1"/>
  <c r="H17" i="13" a="1"/>
  <c r="H17" i="13" s="1"/>
  <c r="J17" i="13" s="1"/>
  <c r="H12" i="13" a="1"/>
  <c r="H12" i="13" s="1"/>
  <c r="J12" i="13" s="1"/>
  <c r="H9" i="13" a="1"/>
  <c r="H9" i="13" s="1"/>
  <c r="J9" i="13" s="1"/>
  <c r="H27" i="13" a="1"/>
  <c r="H27" i="13" s="1"/>
  <c r="J27" i="13" s="1"/>
  <c r="N27" i="13" s="1"/>
  <c r="Q27" i="13" s="1"/>
  <c r="U27" i="13" s="1"/>
  <c r="H11" i="13" a="1"/>
  <c r="H11" i="13" s="1"/>
  <c r="J11" i="13" s="1"/>
  <c r="H31" i="13" a="1"/>
  <c r="H31" i="13" s="1"/>
  <c r="J31" i="13" s="1"/>
  <c r="N31" i="13" s="1"/>
  <c r="Q31" i="13" s="1"/>
  <c r="U31" i="13" s="1"/>
  <c r="H22" i="13" a="1"/>
  <c r="H22" i="13" s="1"/>
  <c r="J22" i="13" s="1"/>
  <c r="H6" i="13" a="1"/>
  <c r="H6" i="13" s="1"/>
  <c r="H15" i="13" a="1"/>
  <c r="H15" i="13" s="1"/>
  <c r="J15" i="13" s="1"/>
  <c r="H7" i="13" a="1"/>
  <c r="H7" i="13" s="1"/>
  <c r="J7" i="13" s="1"/>
  <c r="H20" i="13" a="1"/>
  <c r="H20" i="13" s="1"/>
  <c r="J20" i="13" s="1"/>
  <c r="H10" i="13" a="1"/>
  <c r="H10" i="13" s="1"/>
  <c r="J10" i="13" s="1"/>
  <c r="H23" i="13" a="1"/>
  <c r="H23" i="13" s="1"/>
  <c r="J23" i="13" s="1"/>
  <c r="H16" i="13" a="1"/>
  <c r="H16" i="13" s="1"/>
  <c r="J16" i="13" s="1"/>
  <c r="BC16" i="5"/>
  <c r="BJ7" i="5"/>
  <c r="BM19" i="5"/>
  <c r="BW9" i="5"/>
  <c r="BW10" i="5"/>
  <c r="BW15" i="5"/>
  <c r="BW11" i="5"/>
  <c r="BW12" i="5"/>
  <c r="BW14" i="5"/>
  <c r="BW22" i="5"/>
  <c r="BW13" i="5"/>
  <c r="BW8" i="5"/>
  <c r="BJ16" i="5"/>
  <c r="BM7" i="5"/>
  <c r="BF16" i="5"/>
  <c r="BW17" i="5"/>
  <c r="BW20" i="5"/>
  <c r="BW18" i="5"/>
  <c r="R40" i="13"/>
  <c r="Q40" i="13"/>
  <c r="H35" i="13" l="1"/>
  <c r="J30" i="13"/>
  <c r="N30" i="13" s="1"/>
  <c r="Q30" i="13" s="1"/>
  <c r="BW23" i="5"/>
  <c r="BW19" i="5"/>
  <c r="BW7" i="5"/>
  <c r="BW16" i="5" s="1"/>
  <c r="BW24" i="5" s="1"/>
  <c r="BM16" i="5"/>
  <c r="BM24" i="5" s="1"/>
  <c r="BJ24" i="5"/>
  <c r="W40" i="13"/>
  <c r="U40" i="13"/>
  <c r="BE20" i="5"/>
  <c r="BD20" i="5"/>
  <c r="BE18" i="5"/>
  <c r="BD18" i="5"/>
  <c r="BE17" i="5"/>
  <c r="BD17" i="5"/>
  <c r="BE15" i="5"/>
  <c r="BD15" i="5"/>
  <c r="BE14" i="5"/>
  <c r="BD14" i="5"/>
  <c r="BE13" i="5"/>
  <c r="BD13" i="5"/>
  <c r="BE12" i="5"/>
  <c r="BD12" i="5"/>
  <c r="BE11" i="5"/>
  <c r="BD11" i="5"/>
  <c r="BE10" i="5"/>
  <c r="BD10" i="5"/>
  <c r="BE9" i="5"/>
  <c r="BD9" i="5"/>
  <c r="BE8" i="5"/>
  <c r="BD8" i="5"/>
  <c r="BE7" i="5"/>
  <c r="BD7" i="5"/>
  <c r="R23" i="13"/>
  <c r="R21" i="13"/>
  <c r="R20" i="13"/>
  <c r="R19" i="13"/>
  <c r="R18" i="13"/>
  <c r="R17" i="13"/>
  <c r="R16" i="13"/>
  <c r="R15" i="13"/>
  <c r="R14" i="13"/>
  <c r="R13" i="13"/>
  <c r="R12" i="13"/>
  <c r="R11" i="13"/>
  <c r="R10" i="13"/>
  <c r="R9" i="13"/>
  <c r="R8" i="13"/>
  <c r="R7" i="13"/>
  <c r="R6" i="13"/>
  <c r="U30" i="13" l="1"/>
  <c r="BD16" i="5"/>
  <c r="BE16" i="5"/>
  <c r="C43" i="14" l="1"/>
  <c r="N36" i="14"/>
  <c r="M36" i="14"/>
  <c r="E36" i="14"/>
  <c r="F35" i="14"/>
  <c r="J35" i="14" s="1"/>
  <c r="L35" i="14" s="1"/>
  <c r="J34" i="14"/>
  <c r="I34" i="14"/>
  <c r="G34" i="14"/>
  <c r="A34" i="14"/>
  <c r="F33" i="14"/>
  <c r="F36" i="14" s="1"/>
  <c r="G36" i="14" s="1"/>
  <c r="L32" i="14"/>
  <c r="I32" i="14"/>
  <c r="G32" i="14"/>
  <c r="A32" i="14"/>
  <c r="L31" i="14"/>
  <c r="I31" i="14"/>
  <c r="G31" i="14"/>
  <c r="A31" i="14"/>
  <c r="F30" i="14"/>
  <c r="I30" i="14" s="1"/>
  <c r="J29" i="14"/>
  <c r="L29" i="14" s="1"/>
  <c r="O29" i="14" s="1"/>
  <c r="I29" i="14"/>
  <c r="G29" i="14"/>
  <c r="A29" i="14"/>
  <c r="J28" i="14"/>
  <c r="L28" i="14" s="1"/>
  <c r="I28" i="14"/>
  <c r="G28" i="14"/>
  <c r="A28" i="14"/>
  <c r="J27" i="14"/>
  <c r="L27" i="14" s="1"/>
  <c r="O27" i="14" s="1"/>
  <c r="I27" i="14"/>
  <c r="G27" i="14"/>
  <c r="A27" i="14"/>
  <c r="J26" i="14"/>
  <c r="L26" i="14" s="1"/>
  <c r="I26" i="14"/>
  <c r="G26" i="14"/>
  <c r="A26" i="14"/>
  <c r="J25" i="14"/>
  <c r="L25" i="14" s="1"/>
  <c r="O25" i="14" s="1"/>
  <c r="I25" i="14"/>
  <c r="G25" i="14"/>
  <c r="A25" i="14"/>
  <c r="J24" i="14"/>
  <c r="L24" i="14" s="1"/>
  <c r="I24" i="14"/>
  <c r="G24" i="14"/>
  <c r="A24" i="14"/>
  <c r="J23" i="14"/>
  <c r="L23" i="14" s="1"/>
  <c r="I23" i="14"/>
  <c r="G23" i="14"/>
  <c r="A23" i="14"/>
  <c r="J22" i="14"/>
  <c r="L22" i="14" s="1"/>
  <c r="I22" i="14"/>
  <c r="G22" i="14"/>
  <c r="A22" i="14"/>
  <c r="H15" i="14"/>
  <c r="J15" i="14" s="1"/>
  <c r="H14" i="14"/>
  <c r="J14" i="14" s="1"/>
  <c r="H13" i="14"/>
  <c r="J13" i="14" s="1"/>
  <c r="H12" i="14"/>
  <c r="J12" i="14" s="1"/>
  <c r="D12" i="14"/>
  <c r="D8" i="14"/>
  <c r="E10" i="14" s="1"/>
  <c r="O31" i="14" l="1"/>
  <c r="O23" i="14"/>
  <c r="O28" i="14"/>
  <c r="O26" i="14"/>
  <c r="O24" i="14"/>
  <c r="O22" i="14"/>
  <c r="J36" i="14"/>
  <c r="L34" i="14"/>
  <c r="O34" i="14" s="1"/>
  <c r="O35" i="14" s="1"/>
  <c r="D16" i="14"/>
  <c r="E16" i="14" s="1"/>
  <c r="E13" i="14"/>
  <c r="E14" i="14"/>
  <c r="G57" i="13"/>
  <c r="O30" i="14"/>
  <c r="E42" i="14"/>
  <c r="D42" i="14"/>
  <c r="L36" i="14"/>
  <c r="E15" i="14"/>
  <c r="J30" i="14"/>
  <c r="L30" i="14" s="1"/>
  <c r="E9" i="14"/>
  <c r="E8" i="14"/>
  <c r="I35" i="14"/>
  <c r="I36" i="14" s="1"/>
  <c r="E11" i="14"/>
  <c r="O32" i="14"/>
  <c r="O33" i="14" s="1"/>
  <c r="E12" i="14"/>
  <c r="D41" i="14" l="1"/>
  <c r="E41" i="14"/>
  <c r="E40" i="14"/>
  <c r="O36" i="14"/>
  <c r="D40" i="14"/>
  <c r="D43" i="14" s="1"/>
  <c r="E43" i="14" s="1"/>
  <c r="G10" i="14" a="1"/>
  <c r="G10" i="14" s="1"/>
  <c r="H10" i="14" s="1"/>
  <c r="J10" i="14" s="1"/>
  <c r="G16" i="14" l="1"/>
  <c r="H16" i="14" s="1"/>
  <c r="J16" i="14" s="1"/>
  <c r="G8" i="14"/>
  <c r="H8" i="14" s="1"/>
  <c r="J8" i="14" s="1"/>
  <c r="G9" i="14" a="1"/>
  <c r="G9" i="14" s="1"/>
  <c r="H9" i="14" s="1"/>
  <c r="J9" i="14" s="1"/>
  <c r="G11" i="14" a="1"/>
  <c r="G11" i="14" s="1"/>
  <c r="H11" i="14" s="1"/>
  <c r="J11" i="14" s="1"/>
  <c r="I22" i="10" l="1"/>
  <c r="AX15" i="5"/>
  <c r="AW15" i="5"/>
  <c r="AX14" i="5"/>
  <c r="AW14" i="5"/>
  <c r="AX13" i="5"/>
  <c r="R46" i="13"/>
  <c r="L46" i="13"/>
  <c r="Q46" i="13"/>
  <c r="T39" i="13"/>
  <c r="S39" i="13"/>
  <c r="R39" i="13"/>
  <c r="L39" i="13"/>
  <c r="N39" i="13"/>
  <c r="Q39" i="13" s="1"/>
  <c r="T38" i="13"/>
  <c r="S38" i="13"/>
  <c r="R38" i="13"/>
  <c r="L38" i="13"/>
  <c r="N38" i="13"/>
  <c r="Q38" i="13" s="1"/>
  <c r="N23" i="13"/>
  <c r="Q23" i="13" s="1"/>
  <c r="U23" i="13" s="1"/>
  <c r="A23" i="13"/>
  <c r="R22" i="13"/>
  <c r="R35" i="13" s="1"/>
  <c r="A22" i="13"/>
  <c r="L21" i="13"/>
  <c r="N21" i="13"/>
  <c r="Q21" i="13" s="1"/>
  <c r="A21" i="13"/>
  <c r="L20" i="13"/>
  <c r="N20" i="13"/>
  <c r="Q20" i="13" s="1"/>
  <c r="A20" i="13"/>
  <c r="L19" i="13"/>
  <c r="N19" i="13"/>
  <c r="Q19" i="13" s="1"/>
  <c r="A19" i="13"/>
  <c r="L18" i="13"/>
  <c r="N18" i="13"/>
  <c r="Q18" i="13" s="1"/>
  <c r="A18" i="13"/>
  <c r="L17" i="13"/>
  <c r="N17" i="13"/>
  <c r="Q17" i="13" s="1"/>
  <c r="A17" i="13"/>
  <c r="L16" i="13"/>
  <c r="N16" i="13"/>
  <c r="Q16" i="13" s="1"/>
  <c r="A16" i="13"/>
  <c r="L15" i="13"/>
  <c r="N15" i="13"/>
  <c r="Q15" i="13" s="1"/>
  <c r="A15" i="13"/>
  <c r="R45" i="13"/>
  <c r="R56" i="13" s="1"/>
  <c r="L45" i="13"/>
  <c r="Q45" i="13"/>
  <c r="Q56" i="13" s="1"/>
  <c r="T37" i="13"/>
  <c r="S37" i="13"/>
  <c r="R37" i="13"/>
  <c r="L37" i="13"/>
  <c r="N37" i="13"/>
  <c r="Q37" i="13" s="1"/>
  <c r="T36" i="13"/>
  <c r="T44" i="13" s="1"/>
  <c r="S36" i="13"/>
  <c r="S44" i="13" s="1"/>
  <c r="R36" i="13"/>
  <c r="R44" i="13" s="1"/>
  <c r="L36" i="13"/>
  <c r="N36" i="13"/>
  <c r="Q36" i="13" s="1"/>
  <c r="Q44" i="13" s="1"/>
  <c r="N14" i="13"/>
  <c r="Q14" i="13" s="1"/>
  <c r="A14" i="13"/>
  <c r="H57" i="13"/>
  <c r="A13" i="13"/>
  <c r="L12" i="13"/>
  <c r="N12" i="13"/>
  <c r="Q12" i="13" s="1"/>
  <c r="A12" i="13"/>
  <c r="L11" i="13"/>
  <c r="N11" i="13"/>
  <c r="Q11" i="13" s="1"/>
  <c r="A11" i="13"/>
  <c r="L10" i="13"/>
  <c r="N10" i="13"/>
  <c r="Q10" i="13" s="1"/>
  <c r="A10" i="13"/>
  <c r="L9" i="13"/>
  <c r="N9" i="13"/>
  <c r="Q9" i="13" s="1"/>
  <c r="A9" i="13"/>
  <c r="L8" i="13"/>
  <c r="N8" i="13"/>
  <c r="Q8" i="13" s="1"/>
  <c r="A8" i="13"/>
  <c r="L7" i="13"/>
  <c r="N7" i="13"/>
  <c r="Q7" i="13" s="1"/>
  <c r="A7" i="13"/>
  <c r="L6" i="13"/>
  <c r="J6" i="13"/>
  <c r="N6" i="13" s="1"/>
  <c r="Q6" i="13" s="1"/>
  <c r="A6" i="13"/>
  <c r="A542" i="11"/>
  <c r="A541" i="11"/>
  <c r="A540" i="11"/>
  <c r="A539" i="11"/>
  <c r="A538" i="11"/>
  <c r="A537" i="11"/>
  <c r="A536" i="11"/>
  <c r="A535" i="11"/>
  <c r="A534" i="11"/>
  <c r="A533" i="11"/>
  <c r="A532" i="11"/>
  <c r="A531" i="11"/>
  <c r="A530" i="11"/>
  <c r="A529" i="11"/>
  <c r="A528" i="11"/>
  <c r="A527" i="11"/>
  <c r="A526" i="11"/>
  <c r="A525" i="11"/>
  <c r="A524" i="11"/>
  <c r="A523" i="11"/>
  <c r="A522" i="11"/>
  <c r="A521" i="11"/>
  <c r="A520" i="11"/>
  <c r="A519" i="11"/>
  <c r="A518" i="11"/>
  <c r="A517" i="11"/>
  <c r="A516" i="11"/>
  <c r="A515" i="11"/>
  <c r="A514" i="11"/>
  <c r="A513" i="11"/>
  <c r="A512" i="11"/>
  <c r="A511" i="11"/>
  <c r="A510" i="11"/>
  <c r="A509" i="11"/>
  <c r="A508" i="11"/>
  <c r="A507" i="11"/>
  <c r="A506" i="11"/>
  <c r="A505" i="11"/>
  <c r="A504" i="11"/>
  <c r="A503" i="11"/>
  <c r="A502" i="11"/>
  <c r="A501" i="11"/>
  <c r="A500" i="11"/>
  <c r="A499" i="11"/>
  <c r="A498" i="11"/>
  <c r="A497" i="11"/>
  <c r="A496" i="11"/>
  <c r="A495" i="11"/>
  <c r="A494" i="11"/>
  <c r="A493" i="11"/>
  <c r="A492" i="11"/>
  <c r="A491" i="11"/>
  <c r="A490" i="11"/>
  <c r="A489" i="11"/>
  <c r="A488" i="11"/>
  <c r="A487" i="11"/>
  <c r="A486" i="11"/>
  <c r="A485" i="11"/>
  <c r="A484" i="11"/>
  <c r="A483" i="11"/>
  <c r="A482" i="11"/>
  <c r="A481" i="11"/>
  <c r="A480" i="11"/>
  <c r="A479" i="11"/>
  <c r="A478" i="11"/>
  <c r="A477" i="11"/>
  <c r="A476" i="11"/>
  <c r="A475" i="11"/>
  <c r="A474" i="11"/>
  <c r="A473" i="11"/>
  <c r="A472" i="11"/>
  <c r="A471" i="11"/>
  <c r="A470" i="11"/>
  <c r="A469" i="11"/>
  <c r="A468" i="11"/>
  <c r="A467" i="11"/>
  <c r="A466" i="11"/>
  <c r="A465" i="11"/>
  <c r="A464" i="11"/>
  <c r="A463" i="11"/>
  <c r="A462" i="11"/>
  <c r="A461" i="11"/>
  <c r="A460" i="11"/>
  <c r="A459" i="11"/>
  <c r="A458" i="11"/>
  <c r="A457" i="11"/>
  <c r="A456" i="11"/>
  <c r="A455" i="11"/>
  <c r="A454" i="11"/>
  <c r="A453" i="11"/>
  <c r="A452" i="11"/>
  <c r="A451" i="11"/>
  <c r="A450" i="11"/>
  <c r="A449" i="11"/>
  <c r="A448" i="11"/>
  <c r="A447" i="11"/>
  <c r="A446" i="11"/>
  <c r="A445" i="11"/>
  <c r="A444" i="11"/>
  <c r="A443" i="11"/>
  <c r="A442" i="11"/>
  <c r="A441" i="11"/>
  <c r="A440" i="11"/>
  <c r="A439" i="11"/>
  <c r="A438" i="11"/>
  <c r="A437" i="11"/>
  <c r="A436" i="11"/>
  <c r="A435" i="11"/>
  <c r="A434" i="11"/>
  <c r="A433" i="11"/>
  <c r="A432" i="11"/>
  <c r="A431" i="11"/>
  <c r="A430" i="11"/>
  <c r="A429" i="11"/>
  <c r="A428" i="11"/>
  <c r="A427" i="11"/>
  <c r="A426" i="11"/>
  <c r="A425" i="11"/>
  <c r="A424" i="11"/>
  <c r="A423" i="11"/>
  <c r="A422" i="11"/>
  <c r="A421" i="11"/>
  <c r="A420" i="11"/>
  <c r="A419" i="11"/>
  <c r="A418" i="11"/>
  <c r="A417" i="11"/>
  <c r="A416" i="11"/>
  <c r="A415" i="11"/>
  <c r="A414" i="11"/>
  <c r="A413" i="11"/>
  <c r="A412" i="11"/>
  <c r="A411" i="11"/>
  <c r="A410" i="11"/>
  <c r="A409" i="11"/>
  <c r="A408" i="11"/>
  <c r="A407" i="11"/>
  <c r="A406" i="11"/>
  <c r="A405" i="11"/>
  <c r="A404" i="11"/>
  <c r="A403" i="11"/>
  <c r="A402" i="11"/>
  <c r="A401" i="11"/>
  <c r="A400" i="11"/>
  <c r="A399" i="11"/>
  <c r="A398" i="11"/>
  <c r="A397" i="11"/>
  <c r="A396" i="11"/>
  <c r="A395" i="11"/>
  <c r="A394" i="11"/>
  <c r="A393" i="11"/>
  <c r="A392" i="11"/>
  <c r="A391" i="11"/>
  <c r="A390" i="11"/>
  <c r="A389" i="11"/>
  <c r="A388" i="11"/>
  <c r="A387" i="11"/>
  <c r="A386" i="11"/>
  <c r="A385" i="11"/>
  <c r="A384" i="11"/>
  <c r="A383" i="11"/>
  <c r="A382" i="11"/>
  <c r="A381" i="11"/>
  <c r="A380" i="11"/>
  <c r="A379" i="11"/>
  <c r="A378" i="11"/>
  <c r="A377" i="11"/>
  <c r="A376" i="11"/>
  <c r="A375" i="11"/>
  <c r="A374" i="11"/>
  <c r="A373" i="11"/>
  <c r="A372" i="11"/>
  <c r="A371" i="11"/>
  <c r="A370" i="11"/>
  <c r="A369" i="11"/>
  <c r="A368" i="11"/>
  <c r="A367" i="11"/>
  <c r="A366" i="11"/>
  <c r="A365" i="11"/>
  <c r="A364" i="11"/>
  <c r="A363" i="11"/>
  <c r="A362" i="11"/>
  <c r="A361" i="11"/>
  <c r="A360" i="11"/>
  <c r="A359" i="11"/>
  <c r="A358" i="11"/>
  <c r="A357" i="11"/>
  <c r="A356" i="11"/>
  <c r="A355" i="11"/>
  <c r="A354" i="11"/>
  <c r="A353" i="11"/>
  <c r="A352" i="11"/>
  <c r="A351" i="11"/>
  <c r="A350" i="11"/>
  <c r="A349" i="11"/>
  <c r="A348" i="11"/>
  <c r="A347" i="11"/>
  <c r="A346" i="11"/>
  <c r="A345" i="11"/>
  <c r="A344" i="11"/>
  <c r="A343" i="11"/>
  <c r="A342" i="11"/>
  <c r="A341" i="11"/>
  <c r="A340" i="11"/>
  <c r="A339" i="11"/>
  <c r="A338" i="11"/>
  <c r="A337" i="11"/>
  <c r="A336" i="11"/>
  <c r="A335" i="11"/>
  <c r="A334" i="11"/>
  <c r="A333" i="11"/>
  <c r="A332" i="11"/>
  <c r="A331" i="11"/>
  <c r="A330" i="11"/>
  <c r="A329" i="11"/>
  <c r="A328" i="11"/>
  <c r="A327" i="11"/>
  <c r="A326" i="11"/>
  <c r="A325" i="11"/>
  <c r="A324" i="11"/>
  <c r="A323" i="11"/>
  <c r="A322" i="11"/>
  <c r="A321" i="11"/>
  <c r="A320" i="11"/>
  <c r="A319" i="11"/>
  <c r="A318" i="11"/>
  <c r="A317" i="11"/>
  <c r="A316" i="11"/>
  <c r="A315" i="11"/>
  <c r="A314" i="11"/>
  <c r="A313" i="11"/>
  <c r="A312" i="11"/>
  <c r="A311" i="11"/>
  <c r="A310" i="11"/>
  <c r="A309" i="11"/>
  <c r="A308" i="11"/>
  <c r="A307" i="11"/>
  <c r="A306" i="11"/>
  <c r="A305" i="11"/>
  <c r="A304" i="11"/>
  <c r="A303" i="11"/>
  <c r="A302" i="11"/>
  <c r="A301" i="11"/>
  <c r="A300" i="11"/>
  <c r="A299" i="11"/>
  <c r="A298" i="11"/>
  <c r="A297" i="11"/>
  <c r="A296" i="11"/>
  <c r="A295" i="11"/>
  <c r="A294" i="11"/>
  <c r="A293" i="11"/>
  <c r="A292" i="11"/>
  <c r="A291" i="11"/>
  <c r="A290" i="11"/>
  <c r="A289" i="11"/>
  <c r="A288" i="11"/>
  <c r="A287" i="11"/>
  <c r="A286" i="11"/>
  <c r="A285" i="11"/>
  <c r="A284" i="11"/>
  <c r="A283" i="11"/>
  <c r="A282" i="11"/>
  <c r="A281" i="11"/>
  <c r="A280" i="11"/>
  <c r="A279" i="11"/>
  <c r="A278" i="11"/>
  <c r="A277" i="11"/>
  <c r="A276" i="11"/>
  <c r="A275" i="11"/>
  <c r="A274" i="11"/>
  <c r="A273" i="11"/>
  <c r="A272" i="11"/>
  <c r="A271" i="11"/>
  <c r="A270" i="11"/>
  <c r="A269" i="11"/>
  <c r="A268" i="11"/>
  <c r="A267" i="11"/>
  <c r="A266" i="11"/>
  <c r="A265" i="11"/>
  <c r="A264" i="11"/>
  <c r="A263" i="11"/>
  <c r="A262" i="11"/>
  <c r="A261" i="11"/>
  <c r="A260" i="11"/>
  <c r="A259" i="11"/>
  <c r="A258" i="11"/>
  <c r="A257" i="11"/>
  <c r="A256" i="11"/>
  <c r="A255" i="11"/>
  <c r="A254" i="11"/>
  <c r="A253" i="11"/>
  <c r="A252" i="11"/>
  <c r="A251" i="11"/>
  <c r="A250" i="11"/>
  <c r="A249" i="11"/>
  <c r="A248" i="11"/>
  <c r="A247" i="11"/>
  <c r="A246" i="11"/>
  <c r="A245" i="11"/>
  <c r="A244" i="11"/>
  <c r="A243" i="11"/>
  <c r="A242" i="11"/>
  <c r="A241" i="11"/>
  <c r="A240" i="11"/>
  <c r="A239" i="11"/>
  <c r="A238" i="11"/>
  <c r="A237" i="11"/>
  <c r="A236" i="11"/>
  <c r="A235" i="11"/>
  <c r="A234" i="11"/>
  <c r="A233" i="11"/>
  <c r="A232" i="11"/>
  <c r="A231" i="11"/>
  <c r="A230" i="11"/>
  <c r="A229" i="11"/>
  <c r="A228" i="11"/>
  <c r="A227" i="11"/>
  <c r="A226" i="11"/>
  <c r="A225" i="11"/>
  <c r="A224" i="11"/>
  <c r="A223" i="11"/>
  <c r="A222" i="11"/>
  <c r="A221" i="11"/>
  <c r="A220" i="11"/>
  <c r="A219" i="11"/>
  <c r="A218" i="11"/>
  <c r="A217" i="11"/>
  <c r="A216" i="11"/>
  <c r="A215" i="11"/>
  <c r="A214" i="11"/>
  <c r="A213" i="11"/>
  <c r="A212" i="11"/>
  <c r="A211" i="11"/>
  <c r="A210" i="11"/>
  <c r="A209" i="11"/>
  <c r="A208" i="11"/>
  <c r="A207" i="11"/>
  <c r="A206" i="11"/>
  <c r="A205" i="11"/>
  <c r="A204" i="11"/>
  <c r="A203" i="11"/>
  <c r="A202" i="11"/>
  <c r="A201" i="11"/>
  <c r="A200" i="11"/>
  <c r="A199" i="11"/>
  <c r="A198" i="11"/>
  <c r="A197" i="11"/>
  <c r="A196" i="11"/>
  <c r="A195" i="11"/>
  <c r="A194" i="11"/>
  <c r="A193" i="11"/>
  <c r="A192" i="11"/>
  <c r="A191" i="11"/>
  <c r="A190" i="11"/>
  <c r="A189" i="11"/>
  <c r="A188" i="11"/>
  <c r="A187" i="11"/>
  <c r="A186" i="11"/>
  <c r="A185" i="11"/>
  <c r="A184" i="11"/>
  <c r="A183" i="11"/>
  <c r="A182" i="11"/>
  <c r="A181" i="11"/>
  <c r="A180" i="11"/>
  <c r="A179" i="11"/>
  <c r="A178" i="11"/>
  <c r="A177" i="11"/>
  <c r="A176" i="11"/>
  <c r="A175" i="11"/>
  <c r="A174" i="11"/>
  <c r="A173" i="11"/>
  <c r="A172" i="11"/>
  <c r="A171" i="11"/>
  <c r="A170" i="11"/>
  <c r="A169" i="11"/>
  <c r="A168" i="11"/>
  <c r="A167" i="11"/>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U46" i="13" l="1"/>
  <c r="S57" i="13"/>
  <c r="T57" i="13"/>
  <c r="I57" i="13"/>
  <c r="AQ16" i="5"/>
  <c r="AP19" i="5"/>
  <c r="AQ23" i="5"/>
  <c r="AP16" i="5"/>
  <c r="AQ19" i="5"/>
  <c r="U38" i="13"/>
  <c r="W46" i="13"/>
  <c r="W39" i="13"/>
  <c r="W38" i="13"/>
  <c r="U39" i="13"/>
  <c r="W16" i="13"/>
  <c r="W20" i="13"/>
  <c r="W15" i="13"/>
  <c r="U19" i="13"/>
  <c r="W18" i="13"/>
  <c r="U15" i="13"/>
  <c r="W17" i="13"/>
  <c r="N22" i="13"/>
  <c r="Q22" i="13" s="1"/>
  <c r="U22" i="13" s="1"/>
  <c r="U18" i="13"/>
  <c r="W21" i="13"/>
  <c r="U16" i="13"/>
  <c r="U17" i="13"/>
  <c r="U20" i="13"/>
  <c r="W19" i="13"/>
  <c r="U21" i="13"/>
  <c r="W10" i="13"/>
  <c r="L57" i="13"/>
  <c r="U6" i="13"/>
  <c r="W45" i="13"/>
  <c r="W9" i="13"/>
  <c r="W36" i="13"/>
  <c r="U14" i="13"/>
  <c r="W12" i="13"/>
  <c r="W6" i="13"/>
  <c r="U7" i="13"/>
  <c r="W7" i="13"/>
  <c r="W11" i="13"/>
  <c r="W37" i="13"/>
  <c r="U45" i="13"/>
  <c r="U56" i="13" s="1"/>
  <c r="U37" i="13"/>
  <c r="W8" i="13"/>
  <c r="U12" i="13"/>
  <c r="N13" i="13"/>
  <c r="Q13" i="13" s="1"/>
  <c r="U8" i="13"/>
  <c r="U9" i="13"/>
  <c r="U10" i="13"/>
  <c r="U11" i="13"/>
  <c r="U36" i="13"/>
  <c r="U44" i="13" s="1"/>
  <c r="BK14" i="5"/>
  <c r="BL15" i="5"/>
  <c r="BK15" i="5"/>
  <c r="BL14" i="5"/>
  <c r="AQ15" i="5"/>
  <c r="BB15" i="5" s="1"/>
  <c r="BI15" i="5" s="1"/>
  <c r="AP15" i="5"/>
  <c r="BA15" i="5" s="1"/>
  <c r="BH15" i="5" s="1"/>
  <c r="AQ14" i="5"/>
  <c r="BB14" i="5" s="1"/>
  <c r="BI14" i="5" s="1"/>
  <c r="AP14" i="5"/>
  <c r="BA14" i="5" s="1"/>
  <c r="A15" i="5"/>
  <c r="A14" i="5"/>
  <c r="Q35" i="13" l="1"/>
  <c r="R57" i="13"/>
  <c r="U13" i="13"/>
  <c r="U35" i="13" s="1"/>
  <c r="Q57" i="13"/>
  <c r="BV14" i="5"/>
  <c r="BH14" i="5"/>
  <c r="BU14" i="5" s="1"/>
  <c r="BU15" i="5"/>
  <c r="BV15" i="5"/>
  <c r="U57" i="13" l="1"/>
  <c r="K11" i="10"/>
  <c r="K9" i="10"/>
  <c r="C41" i="10" l="1"/>
  <c r="N34" i="10"/>
  <c r="M34" i="10"/>
  <c r="F34" i="10"/>
  <c r="G34" i="10" s="1"/>
  <c r="E34" i="10"/>
  <c r="J33" i="10"/>
  <c r="L33" i="10" s="1"/>
  <c r="I33" i="10"/>
  <c r="J32" i="10"/>
  <c r="I32" i="10"/>
  <c r="G32" i="10"/>
  <c r="A32" i="10"/>
  <c r="L30" i="10"/>
  <c r="I30" i="10"/>
  <c r="O30" i="10" s="1"/>
  <c r="G30" i="10"/>
  <c r="A30" i="10"/>
  <c r="L29" i="10"/>
  <c r="I29" i="10"/>
  <c r="I34" i="10" s="1"/>
  <c r="G29" i="10"/>
  <c r="A29" i="10"/>
  <c r="J28" i="10"/>
  <c r="L28" i="10" s="1"/>
  <c r="I28" i="10"/>
  <c r="J27" i="10"/>
  <c r="L27" i="10" s="1"/>
  <c r="O27" i="10" s="1"/>
  <c r="I27" i="10"/>
  <c r="G27" i="10"/>
  <c r="A27" i="10"/>
  <c r="J26" i="10"/>
  <c r="L26" i="10" s="1"/>
  <c r="I26" i="10"/>
  <c r="G26" i="10"/>
  <c r="A26" i="10"/>
  <c r="J25" i="10"/>
  <c r="L25" i="10" s="1"/>
  <c r="I25" i="10"/>
  <c r="G25" i="10"/>
  <c r="A25" i="10"/>
  <c r="J24" i="10"/>
  <c r="L24" i="10" s="1"/>
  <c r="O24" i="10" s="1"/>
  <c r="I24" i="10"/>
  <c r="G24" i="10"/>
  <c r="A24" i="10"/>
  <c r="J23" i="10"/>
  <c r="L23" i="10" s="1"/>
  <c r="I23" i="10"/>
  <c r="G23" i="10"/>
  <c r="A23" i="10"/>
  <c r="J22" i="10"/>
  <c r="L22" i="10" s="1"/>
  <c r="O22" i="10" s="1"/>
  <c r="G22" i="10"/>
  <c r="A22" i="10"/>
  <c r="H15" i="10"/>
  <c r="J15" i="10" s="1"/>
  <c r="H14" i="10"/>
  <c r="J14" i="10" s="1"/>
  <c r="H13" i="10"/>
  <c r="J13" i="10" s="1"/>
  <c r="H12" i="10"/>
  <c r="J12" i="10" s="1"/>
  <c r="D12" i="10"/>
  <c r="E15" i="10" s="1"/>
  <c r="D10" i="10"/>
  <c r="K10" i="10" s="1"/>
  <c r="O25" i="10" l="1"/>
  <c r="O26" i="10"/>
  <c r="O23" i="10"/>
  <c r="J34" i="10"/>
  <c r="L32" i="10"/>
  <c r="O32" i="10" s="1"/>
  <c r="O33" i="10" s="1"/>
  <c r="O28" i="10"/>
  <c r="L34" i="10"/>
  <c r="D8" i="10"/>
  <c r="E13" i="10"/>
  <c r="O29" i="10"/>
  <c r="O31" i="10" s="1"/>
  <c r="E14" i="10"/>
  <c r="O34" i="10" l="1"/>
  <c r="E40" i="10"/>
  <c r="D40" i="10"/>
  <c r="E39" i="10"/>
  <c r="D39" i="10"/>
  <c r="E9" i="10"/>
  <c r="E11" i="10"/>
  <c r="D16" i="10"/>
  <c r="E10" i="10"/>
  <c r="E38" i="10"/>
  <c r="D38" i="10"/>
  <c r="D41" i="10" l="1"/>
  <c r="E41" i="10" s="1"/>
  <c r="E16" i="10"/>
  <c r="E12" i="10"/>
  <c r="E8" i="10"/>
  <c r="G8" i="10"/>
  <c r="H8" i="10" s="1"/>
  <c r="J8" i="10" s="1"/>
  <c r="G16" i="10"/>
  <c r="H16" i="10" s="1"/>
  <c r="J16" i="10" s="1"/>
  <c r="G11" i="10" a="1"/>
  <c r="G11" i="10" s="1"/>
  <c r="H11" i="10" s="1"/>
  <c r="J11" i="10" s="1"/>
  <c r="G9" i="10" a="1"/>
  <c r="G9" i="10" s="1"/>
  <c r="H9" i="10" s="1"/>
  <c r="J9" i="10" s="1"/>
  <c r="G10" i="10" a="1"/>
  <c r="G10" i="10" s="1"/>
  <c r="H10" i="10" s="1"/>
  <c r="J10" i="10" s="1"/>
  <c r="AX20" i="5" l="1"/>
  <c r="AX23" i="5" s="1"/>
  <c r="AW20" i="5"/>
  <c r="AW23" i="5" s="1"/>
  <c r="AX18" i="5"/>
  <c r="AW18" i="5"/>
  <c r="AX17" i="5"/>
  <c r="AW17" i="5"/>
  <c r="AW13" i="5"/>
  <c r="AX12" i="5"/>
  <c r="AW12" i="5"/>
  <c r="AX11" i="5"/>
  <c r="AW11" i="5"/>
  <c r="AX10" i="5"/>
  <c r="AW10" i="5"/>
  <c r="AX9" i="5"/>
  <c r="AW9" i="5"/>
  <c r="AX8" i="5"/>
  <c r="AW8" i="5"/>
  <c r="AX7" i="5"/>
  <c r="AW7" i="5"/>
  <c r="AQ20" i="5"/>
  <c r="BB20" i="5" s="1"/>
  <c r="AP20" i="5"/>
  <c r="BA20" i="5" s="1"/>
  <c r="AQ18" i="5"/>
  <c r="BB18" i="5" s="1"/>
  <c r="AP18" i="5"/>
  <c r="BA18" i="5" s="1"/>
  <c r="AQ17" i="5"/>
  <c r="BB17" i="5" s="1"/>
  <c r="AP17" i="5"/>
  <c r="BA17" i="5" s="1"/>
  <c r="AQ13" i="5"/>
  <c r="BB13" i="5" s="1"/>
  <c r="AP13" i="5"/>
  <c r="BA13" i="5" s="1"/>
  <c r="AQ12" i="5"/>
  <c r="BB12" i="5" s="1"/>
  <c r="AP12" i="5"/>
  <c r="BA12" i="5" s="1"/>
  <c r="AQ11" i="5"/>
  <c r="BB11" i="5" s="1"/>
  <c r="AP11" i="5"/>
  <c r="BA11" i="5" s="1"/>
  <c r="AQ10" i="5"/>
  <c r="BB10" i="5" s="1"/>
  <c r="AP10" i="5"/>
  <c r="BA10" i="5" s="1"/>
  <c r="AQ9" i="5"/>
  <c r="BB9" i="5" s="1"/>
  <c r="AP9" i="5"/>
  <c r="BA9" i="5" s="1"/>
  <c r="AQ8" i="5"/>
  <c r="BB8" i="5" s="1"/>
  <c r="AP8" i="5"/>
  <c r="BA8" i="5" s="1"/>
  <c r="AQ7" i="5"/>
  <c r="BB7" i="5" s="1"/>
  <c r="AP7" i="5"/>
  <c r="BA7" i="5" s="1"/>
  <c r="BR18" i="5"/>
  <c r="BR17" i="5"/>
  <c r="BR19" i="5" s="1"/>
  <c r="BR24" i="5" s="1"/>
  <c r="BO18" i="5"/>
  <c r="BO17" i="5"/>
  <c r="BQ18" i="5"/>
  <c r="BQ17" i="5"/>
  <c r="BN18" i="5"/>
  <c r="BN17" i="5"/>
  <c r="BN19" i="5" s="1"/>
  <c r="BN24" i="5" s="1"/>
  <c r="BA16" i="5" l="1"/>
  <c r="BO19" i="5"/>
  <c r="BO24" i="5" s="1"/>
  <c r="BQ19" i="5"/>
  <c r="BQ24" i="5" s="1"/>
  <c r="BB16" i="5"/>
  <c r="AX19" i="5"/>
  <c r="AW19" i="5"/>
  <c r="AX16" i="5"/>
  <c r="AX24" i="5" s="1"/>
  <c r="AW16" i="5"/>
  <c r="AP24" i="5"/>
  <c r="AQ24" i="5"/>
  <c r="AW24" i="5" l="1"/>
  <c r="BL20" i="5"/>
  <c r="BL23" i="5" s="1"/>
  <c r="BK20" i="5"/>
  <c r="BK23" i="5" s="1"/>
  <c r="BL18" i="5"/>
  <c r="BK18" i="5"/>
  <c r="BL17" i="5"/>
  <c r="BL19" i="5" s="1"/>
  <c r="BK17" i="5"/>
  <c r="BK19" i="5" s="1"/>
  <c r="BL13" i="5"/>
  <c r="BK13" i="5"/>
  <c r="BL12" i="5"/>
  <c r="BK12" i="5"/>
  <c r="BL11" i="5"/>
  <c r="BK11" i="5"/>
  <c r="BL10" i="5"/>
  <c r="BK10" i="5"/>
  <c r="BL9" i="5"/>
  <c r="BK9" i="5"/>
  <c r="BL8" i="5"/>
  <c r="BK8" i="5"/>
  <c r="BL7" i="5"/>
  <c r="BK7" i="5"/>
  <c r="BH8" i="5"/>
  <c r="BY8" i="5" s="1"/>
  <c r="BI8" i="5"/>
  <c r="BH9" i="5"/>
  <c r="BY9" i="5" s="1"/>
  <c r="BI9" i="5"/>
  <c r="BH10" i="5"/>
  <c r="BY10" i="5" s="1"/>
  <c r="BI10" i="5"/>
  <c r="BH11" i="5"/>
  <c r="BY11" i="5" s="1"/>
  <c r="BI11" i="5"/>
  <c r="BH12" i="5"/>
  <c r="BY12" i="5" s="1"/>
  <c r="BI12" i="5"/>
  <c r="BH13" i="5"/>
  <c r="BY13" i="5" s="1"/>
  <c r="BI13" i="5"/>
  <c r="BV13" i="5" s="1"/>
  <c r="BH17" i="5"/>
  <c r="BY17" i="5" s="1"/>
  <c r="BI17" i="5"/>
  <c r="BH18" i="5"/>
  <c r="BI18" i="5"/>
  <c r="BH20" i="5"/>
  <c r="BI20" i="5"/>
  <c r="BI23" i="5" s="1"/>
  <c r="BI7" i="5"/>
  <c r="BI16" i="5" s="1"/>
  <c r="BH7" i="5"/>
  <c r="A20" i="5"/>
  <c r="A18" i="5"/>
  <c r="A17" i="5"/>
  <c r="A13" i="5"/>
  <c r="A12" i="5"/>
  <c r="A11" i="5"/>
  <c r="A10" i="5"/>
  <c r="A9" i="5"/>
  <c r="A8" i="5"/>
  <c r="A7" i="5"/>
  <c r="BK16" i="5" l="1"/>
  <c r="BL16" i="5"/>
  <c r="BU18" i="5"/>
  <c r="BY18" i="5"/>
  <c r="BH23" i="5"/>
  <c r="BY20" i="5"/>
  <c r="BH16" i="5"/>
  <c r="BY7" i="5"/>
  <c r="BH19" i="5"/>
  <c r="BI19" i="5"/>
  <c r="BI24" i="5" s="1"/>
  <c r="BV8" i="5"/>
  <c r="BU20" i="5"/>
  <c r="BU23" i="5" s="1"/>
  <c r="BV7" i="5"/>
  <c r="BU9" i="5"/>
  <c r="BK24" i="5"/>
  <c r="BU10" i="5"/>
  <c r="BU12" i="5"/>
  <c r="BV11" i="5"/>
  <c r="BU13" i="5"/>
  <c r="BV12" i="5"/>
  <c r="BU7" i="5"/>
  <c r="BV9" i="5"/>
  <c r="BZ17" i="5"/>
  <c r="BV17" i="5"/>
  <c r="BU17" i="5"/>
  <c r="BU19" i="5" s="1"/>
  <c r="BU8" i="5"/>
  <c r="BU11" i="5"/>
  <c r="BZ20" i="5"/>
  <c r="BV20" i="5"/>
  <c r="BV23" i="5" s="1"/>
  <c r="BZ10" i="5"/>
  <c r="BV10" i="5"/>
  <c r="BZ18" i="5"/>
  <c r="BV18" i="5"/>
  <c r="BZ11" i="5"/>
  <c r="BZ9" i="5"/>
  <c r="BZ12" i="5"/>
  <c r="BZ8" i="5"/>
  <c r="BZ13" i="5"/>
  <c r="BZ7" i="5"/>
  <c r="BU16" i="5" l="1"/>
  <c r="BU24" i="5" s="1"/>
  <c r="BV16" i="5"/>
  <c r="BV19" i="5"/>
  <c r="BH24" i="5"/>
  <c r="BL24" i="5"/>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8" i="2"/>
  <c r="F17" i="1"/>
  <c r="E17" i="1"/>
  <c r="D17" i="1"/>
  <c r="F19" i="1"/>
  <c r="E19" i="1"/>
  <c r="D19" i="1"/>
  <c r="F18" i="1"/>
  <c r="E18" i="1"/>
  <c r="D18" i="1"/>
  <c r="F16" i="1"/>
  <c r="E16" i="1"/>
  <c r="D16" i="1"/>
  <c r="F15" i="1"/>
  <c r="E15" i="1"/>
  <c r="D15" i="1"/>
  <c r="F14" i="1"/>
  <c r="E14" i="1"/>
  <c r="D14" i="1"/>
  <c r="F13" i="1"/>
  <c r="E13" i="1"/>
  <c r="D13" i="1"/>
  <c r="F12" i="1"/>
  <c r="E12" i="1"/>
  <c r="D12" i="1"/>
  <c r="BV24"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Huyền, Lữ Ngọc Mỹ</author>
  </authors>
  <commentList>
    <comment ref="H7" authorId="0" shapeId="0" xr:uid="{BB521007-497E-4DEA-92A5-E5DEBCFFCCB5}">
      <text>
        <r>
          <rPr>
            <b/>
            <sz val="9"/>
            <color indexed="81"/>
            <rFont val="Tahoma"/>
            <family val="2"/>
          </rPr>
          <t>Huyền, Lữ Ngọc Mỹ:</t>
        </r>
        <r>
          <rPr>
            <sz val="9"/>
            <color indexed="81"/>
            <rFont val="Tahoma"/>
            <family val="2"/>
          </rPr>
          <t xml:space="preserve">
200
</t>
        </r>
      </text>
    </comment>
    <comment ref="H10" authorId="0" shapeId="0" xr:uid="{7E20307A-6CF2-4D9F-AB88-731E7D7724C7}">
      <text>
        <r>
          <rPr>
            <b/>
            <sz val="9"/>
            <color indexed="81"/>
            <rFont val="Tahoma"/>
            <family val="2"/>
          </rPr>
          <t>Huyền, Lữ Ngọc Mỹ:</t>
        </r>
        <r>
          <rPr>
            <sz val="9"/>
            <color indexed="81"/>
            <rFont val="Tahoma"/>
            <family val="2"/>
          </rPr>
          <t xml:space="preserve">
110</t>
        </r>
      </text>
    </comment>
    <comment ref="H11" authorId="0" shapeId="0" xr:uid="{D35D5513-FDE9-4042-8A15-4CF83E5533DE}">
      <text>
        <r>
          <rPr>
            <b/>
            <sz val="9"/>
            <color indexed="81"/>
            <rFont val="Tahoma"/>
            <family val="2"/>
          </rPr>
          <t>Huyền, Lữ Ngọc Mỹ:</t>
        </r>
        <r>
          <rPr>
            <sz val="9"/>
            <color indexed="81"/>
            <rFont val="Tahoma"/>
            <family val="2"/>
          </rPr>
          <t xml:space="preserve">
110</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<sst xmlns="http://schemas.openxmlformats.org/spreadsheetml/2006/main" count="4032" uniqueCount="1294">
  <si>
    <t>Giá mua</t>
  </si>
  <si>
    <t>ĐẠI LỘC</t>
  </si>
  <si>
    <t>ĐỒNG LÂM</t>
  </si>
  <si>
    <t>KHÁNH NGA</t>
  </si>
  <si>
    <t>Hỗ trợ vận chuyển</t>
  </si>
  <si>
    <t>Hỗ trợ bì tạp</t>
  </si>
  <si>
    <t>Hỗ trợ chi phí lương cho nhân sự hành chính của đối tác</t>
  </si>
  <si>
    <t>đồng/tháng</t>
  </si>
  <si>
    <t>đồng/quý</t>
  </si>
  <si>
    <t>Căn cứ vào mức sản lượng được ký kết trong hợp đồng/Phụ lục/PO
Kết quả dựa trên giá trị lũy kế đạt được trong tháng</t>
  </si>
  <si>
    <t>Căn cứ vào mức sản lượng được ký kết trong hợp đồng/Phụ lục/PO
Kết quả dựa trên giá trị lũy kế đạt được trong năm</t>
  </si>
  <si>
    <t>đồng/chuyến</t>
  </si>
  <si>
    <t>Áp dụng cho NCC nằm trong khu vực được cấp thẩm quyền phê duyệt</t>
  </si>
  <si>
    <t>%/chuyến</t>
  </si>
  <si>
    <t>LƯU Ý</t>
  </si>
  <si>
    <t>đồng/tháng/NCC</t>
  </si>
  <si>
    <t>Hỗ trợ chi phí thuê mặt bằng</t>
  </si>
  <si>
    <t>Hỗ trợ bảo trì máy móc thiết bị</t>
  </si>
  <si>
    <t>Khi đối tác có ký hợp đồng thuê máy móc thiết bị giá 1.000.000đ</t>
  </si>
  <si>
    <t>STT</t>
  </si>
  <si>
    <t>Tỉnh mới</t>
  </si>
  <si>
    <t>Tỉnh cũ</t>
  </si>
  <si>
    <t>Khoảng cách trung bình
(km)</t>
  </si>
  <si>
    <t>Bắc miền Trung</t>
  </si>
  <si>
    <t>Quảng Trị</t>
  </si>
  <si>
    <t>Đại Lộc</t>
  </si>
  <si>
    <t>Mức hỗ trợ
(đồng/kg)</t>
  </si>
  <si>
    <t>Quảng Bình</t>
  </si>
  <si>
    <t>Huế</t>
  </si>
  <si>
    <t>Đà Nẵng</t>
  </si>
  <si>
    <t>Quảng Ngãi</t>
  </si>
  <si>
    <t>Khánh Hòa</t>
  </si>
  <si>
    <t>Đak Lak</t>
  </si>
  <si>
    <t>Lâm Đồng</t>
  </si>
  <si>
    <t>Gia Lai</t>
  </si>
  <si>
    <t>Đồng Nai</t>
  </si>
  <si>
    <t>Tây Ninh</t>
  </si>
  <si>
    <t>Đồng Tháp</t>
  </si>
  <si>
    <t>Cần Thơ</t>
  </si>
  <si>
    <t>Vĩnh Long</t>
  </si>
  <si>
    <t>An Giang</t>
  </si>
  <si>
    <t>Cà Mau</t>
  </si>
  <si>
    <t>TPHCM 1</t>
  </si>
  <si>
    <t>TPHCM 2</t>
  </si>
  <si>
    <t>TPHCM 3</t>
  </si>
  <si>
    <t>Quảng Nam</t>
  </si>
  <si>
    <t>Kon Tum</t>
  </si>
  <si>
    <t>Ninh Thuận</t>
  </si>
  <si>
    <t>Phú Yên</t>
  </si>
  <si>
    <t>Đak Nông</t>
  </si>
  <si>
    <t>Bình Thuận</t>
  </si>
  <si>
    <t>Bình Định</t>
  </si>
  <si>
    <t>Bình Phước</t>
  </si>
  <si>
    <t>Long An</t>
  </si>
  <si>
    <t>Tiền Giang</t>
  </si>
  <si>
    <t>Hậu Giang</t>
  </si>
  <si>
    <t>Sóc Trăng</t>
  </si>
  <si>
    <t>Bến Tre</t>
  </si>
  <si>
    <t>Trà Vinh</t>
  </si>
  <si>
    <t>Kiên Giang</t>
  </si>
  <si>
    <t>Bạc Liêu</t>
  </si>
  <si>
    <t>TPHCM</t>
  </si>
  <si>
    <t>Bà Rịa - Vũng Tàu</t>
  </si>
  <si>
    <t>Bình Dương</t>
  </si>
  <si>
    <t>Khánh Nga</t>
  </si>
  <si>
    <t>Đồng Lâm</t>
  </si>
  <si>
    <t>Nam miền Trung</t>
  </si>
  <si>
    <t>Miền Tây 1</t>
  </si>
  <si>
    <t>Miền Tây 2</t>
  </si>
  <si>
    <t>ĐVT</t>
  </si>
  <si>
    <t>ĐƠN GIÁ HỖ TRỢ</t>
  </si>
  <si>
    <t>đồng/kg</t>
  </si>
  <si>
    <t>Chai B0</t>
  </si>
  <si>
    <t>Chai B1.1, Chai B1.2</t>
  </si>
  <si>
    <t>Chai B2.2, Chai B6.2</t>
  </si>
  <si>
    <t>Chai B2.1, Chai B6.1</t>
  </si>
  <si>
    <t>Chai B4, Chai B5</t>
  </si>
  <si>
    <t>Vảy B6.2</t>
  </si>
  <si>
    <t>Cổ chai PET</t>
  </si>
  <si>
    <t>Nắp HD ép các màu, PP quai</t>
  </si>
  <si>
    <t>Hỗ hợp B6.2 vảy - nắp</t>
  </si>
  <si>
    <t>GAP giữa thành phẩm sv chai B0: + 5.000đ</t>
  </si>
  <si>
    <t>GAP giữa thành phẩm sv chai B0: + 3.500đ</t>
  </si>
  <si>
    <t>GAP giữa thành phẩm sv chai B0: + 2.000đ</t>
  </si>
  <si>
    <t>GAP giữa thành phẩm sv chai B0: + 6.500đ</t>
  </si>
  <si>
    <t>GAP giữa thành phẩm sv chai B0: - 3.500đ</t>
  </si>
  <si>
    <t>GAP giữa thành phẩm sv chai B0: + 1.250đ</t>
  </si>
  <si>
    <t>Nội dung</t>
  </si>
  <si>
    <r>
      <t xml:space="preserve">MA TRẬN CHÍNH SÁCH GIÁ MUA 3 TRẠM </t>
    </r>
    <r>
      <rPr>
        <b/>
        <sz val="16"/>
        <color rgb="FFFF0000"/>
        <rFont val="Aptos Narrow"/>
        <family val="2"/>
        <scheme val="minor"/>
      </rPr>
      <t>ĐẠI LỘC - ĐỒNG LÂM - KHÁNH NGA</t>
    </r>
  </si>
  <si>
    <t>NỘI DUNG</t>
  </si>
  <si>
    <t>Cước vận chuyển tham khảo thực tế
(đồng/kg)</t>
  </si>
  <si>
    <t>Khu vực</t>
  </si>
  <si>
    <t>ĐỊNH MỨC HỖ TRỢ VẬN CHUYỂN NCC TUYẾN DƯỚI CỦA 3 TRẠM</t>
  </si>
  <si>
    <t xml:space="preserve">Lưu ý: </t>
  </si>
  <si>
    <r>
      <rPr>
        <b/>
        <sz val="11"/>
        <color theme="1"/>
        <rFont val="Aptos Narrow"/>
        <family val="2"/>
        <scheme val="minor"/>
      </rPr>
      <t>NCC tự vận chuyển:</t>
    </r>
    <r>
      <rPr>
        <sz val="11"/>
        <color theme="1"/>
        <rFont val="Aptos Narrow"/>
        <family val="2"/>
        <charset val="163"/>
        <scheme val="minor"/>
      </rPr>
      <t xml:space="preserve"> Áp dụng theo chính sách định mức hỗ trợ vận chuyển</t>
    </r>
  </si>
  <si>
    <r>
      <rPr>
        <b/>
        <sz val="11"/>
        <color theme="1"/>
        <rFont val="Aptos Narrow"/>
        <family val="2"/>
        <scheme val="minor"/>
      </rPr>
      <t>Trạm/DTR tự lấy hàng</t>
    </r>
    <r>
      <rPr>
        <sz val="11"/>
        <color theme="1"/>
        <rFont val="Aptos Narrow"/>
        <family val="2"/>
        <charset val="163"/>
        <scheme val="minor"/>
      </rPr>
      <t>: Không chi trả khoản hỗ trợ này</t>
    </r>
  </si>
  <si>
    <t>Chính sách chỉ áp dụng cho NCC đồng hành</t>
  </si>
  <si>
    <t>Tên sheet</t>
  </si>
  <si>
    <t>Ghi chú</t>
  </si>
  <si>
    <t>I. TỔNG HỢP</t>
  </si>
  <si>
    <t>Quay lại</t>
  </si>
  <si>
    <t>tiêu chuẩn chất lượng</t>
  </si>
  <si>
    <t>thưởng sản lượng</t>
  </si>
  <si>
    <t>nhập hàng trừ bì tạp</t>
  </si>
  <si>
    <t>hỗ trợ vận chuyển</t>
  </si>
  <si>
    <t>Hợp đồng nguyên tắc</t>
  </si>
  <si>
    <t>PL01</t>
  </si>
  <si>
    <t>PL03</t>
  </si>
  <si>
    <t>Đơn giá</t>
  </si>
  <si>
    <t>Từng PO</t>
  </si>
  <si>
    <t>Tiêu chuẩn chai PET</t>
  </si>
  <si>
    <t>Thỏa thuận nhập hàng</t>
  </si>
  <si>
    <t>PL02</t>
  </si>
  <si>
    <r>
      <t xml:space="preserve">1.1. Bên A có trách nhiệm nhận toàn bộ hàng hóa của Bên B, bao gồm thành phần không đạt (không trả hàng).
1.2. Tỷ lệ các thành phần không đạt sẽ được Bên A kiểm tra và báo kết quả cho Bên B. Trong đó, Bên A hỗ trợ bì tạp 1% cho Bên B như sau:
- Trường hợp Bên B giao hàng với tổng tỷ lệ các thành phần không đạt (tỷ lệ bì tạp)  dưới hoặc bằng 1% thì tính tỷ lệ bì tạp bằng 0%.
- Trường hợp Bên B giao hàng với tổng tỷ lệ các thành phần không đạt (tỷ lệ bì tạp) trên 1% thì hỗ trợ trừ 1%, cụ thể tính theo công thức sau:
</t>
    </r>
    <r>
      <rPr>
        <b/>
        <sz val="11"/>
        <color theme="1"/>
        <rFont val="Aptos Narrow"/>
        <family val="2"/>
        <scheme val="minor"/>
      </rPr>
      <t xml:space="preserve">Tỷ lệ trừ bì tạp = Tỷ lệ bì tạp thực tế - 1%
</t>
    </r>
    <r>
      <rPr>
        <sz val="11"/>
        <color theme="1"/>
        <rFont val="Aptos Narrow"/>
        <family val="2"/>
        <charset val="163"/>
        <scheme val="minor"/>
      </rPr>
      <t>1.3. Bên B có trách nhiệm đảm bảo chất lượng hàng bán đúng theo yêu cầu của Bên A.</t>
    </r>
  </si>
  <si>
    <t>Chai PET xá (B0) ép thành kiện, chưa tách nhãn, kiện không dính bùn đất, dầu nhớt,…
Các thành phần không đạt: chai hóa chất, chai dơ, chai dính bùn đất, độ ẩm, tạp kim loại, nhựa khác, chai màu khác, gỗ, cao su, cát đá,…</t>
  </si>
  <si>
    <t>Thưởng sản lượng</t>
  </si>
  <si>
    <t>Sản lượng cung ứng: Bên B cam kết bán cho Bên A theo sản lượng chi tiết bên dưới, với dung sai được phép dao động - 5%
Ký kết sản lượng ngay từ đầu năm
Thưởng sản lượng tháng: 50đ/kg
Thưởng sản lượng quý: 50đ/kg
Thưởng sản lượng năm: 50đ/kg</t>
  </si>
  <si>
    <t>Vận chuyển hàng hóa</t>
  </si>
  <si>
    <t>PL04</t>
  </si>
  <si>
    <t>Chi phí bốc dỡ hàng hóa: Mỗi bên chịu một đầu.
Bên A hỗ trợ một phần chi phí cho Bên B với mức hỗ trợ là: ... VNĐ/kg
Trường hợp xe bên A đến vận chuyển hàng bên B thì mức hỗ trợ không áp dụng</t>
  </si>
  <si>
    <t>Thỏa thuận hợp tác</t>
  </si>
  <si>
    <t>PL05</t>
  </si>
  <si>
    <t>Chi phí mặt bằng
Chi phí cập nhật dữ liệu</t>
  </si>
  <si>
    <t>Trạm</t>
  </si>
  <si>
    <t>Mã VMS</t>
  </si>
  <si>
    <t>001J3000002HLZuIAO</t>
  </si>
  <si>
    <t>HKD Bùi Văn Dương</t>
  </si>
  <si>
    <t>001J3000002HqzBIAS</t>
  </si>
  <si>
    <t>HKD Vạn Phát</t>
  </si>
  <si>
    <t>001J3000005FztKIAS</t>
  </si>
  <si>
    <t>Chị Thúy (Phú Yên)</t>
  </si>
  <si>
    <t>001J300000AtDEeIAN</t>
  </si>
  <si>
    <t>HKD Hoàng Vân - Trần Duy Nhất</t>
  </si>
  <si>
    <t>001J3000002HLfXIAW</t>
  </si>
  <si>
    <t>HKD Hồ Hoàng</t>
  </si>
  <si>
    <t>001J3000002HLjfIAG</t>
  </si>
  <si>
    <t>HKD Tâm Tường</t>
  </si>
  <si>
    <t>001J3000002HLbQIAW</t>
  </si>
  <si>
    <t>NCC</t>
  </si>
  <si>
    <t>001dc000014oE0DAAU</t>
  </si>
  <si>
    <t>Hộ Kinh Doanh An Tâm</t>
  </si>
  <si>
    <t>001dc000014o4lcAAA</t>
  </si>
  <si>
    <t>Công Ty TNHH Thiện An Recycling</t>
  </si>
  <si>
    <t>001J3000002HLmlIAG</t>
  </si>
  <si>
    <t>HKD Nguyễn Thị Thúy An</t>
  </si>
  <si>
    <t>Mức thưởng sản lượng</t>
  </si>
  <si>
    <t>Mức hỗ trợ vận chuyển</t>
  </si>
  <si>
    <t>Sản lượng thực tế</t>
  </si>
  <si>
    <t>Sản lượng ký kết</t>
  </si>
  <si>
    <t>Giá mua TB</t>
  </si>
  <si>
    <t>Hỗ trợ mặt bằng</t>
  </si>
  <si>
    <t>Hỗ trợ admin</t>
  </si>
  <si>
    <t>Sản lượng NCC tự VC</t>
  </si>
  <si>
    <t>% TH sv TT</t>
  </si>
  <si>
    <t>TỔNG CỘNG</t>
  </si>
  <si>
    <t>Thành tiền mua NVL</t>
  </si>
  <si>
    <t>Tổng hỗ trợ</t>
  </si>
  <si>
    <t>Đvt: triệu đồng</t>
  </si>
  <si>
    <t>Đvt: tấn</t>
  </si>
  <si>
    <t>Đvt: đồng/kg</t>
  </si>
  <si>
    <t>Giá mua bao gồm hỗ trợ</t>
  </si>
  <si>
    <t>Giá TGĐ duyệt</t>
  </si>
  <si>
    <t>Thưởng SL</t>
  </si>
  <si>
    <t>Hỗ trợ VC</t>
  </si>
  <si>
    <t>Bao tiêu sản lượng</t>
  </si>
  <si>
    <t>dịch vụ/tháng</t>
  </si>
  <si>
    <t>NỘI DUNG CHÍNH SÁCH</t>
  </si>
  <si>
    <t>Cam kết nhận hàng ổn định từ đối tác, được xác định theo hợp đồng/phụ lục đã ký kết</t>
  </si>
  <si>
    <t>Hỗ trợ đào tạo huấn luyện về nghiệp vụ và thị trường</t>
  </si>
  <si>
    <t>linh hoạt</t>
  </si>
  <si>
    <t>Theo kế hoạch triển khai với đối tác</t>
  </si>
  <si>
    <r>
      <t xml:space="preserve">BẢNG TÍNH GIÁ TRỊ THƯỞNG ĐỒNG HÀNH BA TRẠM
</t>
    </r>
    <r>
      <rPr>
        <b/>
        <sz val="18"/>
        <color rgb="FF0000FF"/>
        <rFont val="Times New Roman"/>
        <family val="1"/>
      </rPr>
      <t>THÁNG 02</t>
    </r>
    <r>
      <rPr>
        <b/>
        <sz val="18"/>
        <color theme="1"/>
        <rFont val="Times New Roman"/>
        <family val="1"/>
      </rPr>
      <t xml:space="preserve"> NĂM 2026</t>
    </r>
  </si>
  <si>
    <t>1. BẢNG TÍNH SẢN LƯỢNG MUA VÀO BA TRẠM</t>
  </si>
  <si>
    <t>Sản phẩm Mua</t>
  </si>
  <si>
    <t>Sản Lượng Đầu Vào</t>
  </si>
  <si>
    <t>Tỷ trọng</t>
  </si>
  <si>
    <t>Giá Mua TB</t>
  </si>
  <si>
    <t>Đơn Giá Thưởng</t>
  </si>
  <si>
    <t>Tổng Giá Mua</t>
  </si>
  <si>
    <t>Giá TGĐ Duyệt</t>
  </si>
  <si>
    <t>Chênh Lệch</t>
  </si>
  <si>
    <t>[1]</t>
  </si>
  <si>
    <t>[2]</t>
  </si>
  <si>
    <t>[3]</t>
  </si>
  <si>
    <t>[4]</t>
  </si>
  <si>
    <t>[5]</t>
  </si>
  <si>
    <t>[6]</t>
  </si>
  <si>
    <t>[7]</t>
  </si>
  <si>
    <t>[8]=[6]+[7]</t>
  </si>
  <si>
    <t>[9]</t>
  </si>
  <si>
    <t>[10]=[9]-[8]</t>
  </si>
  <si>
    <t>I.</t>
  </si>
  <si>
    <t>Nhà Cung Ứng Đồng Hành:</t>
  </si>
  <si>
    <t>Đại lộc</t>
  </si>
  <si>
    <t>Đồng lâm</t>
  </si>
  <si>
    <t>II.</t>
  </si>
  <si>
    <t>Nhà Cung Ứng Phổ Thông:</t>
  </si>
  <si>
    <t>(I)+(II)</t>
  </si>
  <si>
    <t>Tổng</t>
  </si>
  <si>
    <t>2. BẢNG TÍNH GIÁ TRỊ THƯỞNG SẢN LƯỢNG (Nhà Cung Ứng Đồng Hành)</t>
  </si>
  <si>
    <t>Tên Nhà Cung Ứng</t>
  </si>
  <si>
    <t>Tỉnh</t>
  </si>
  <si>
    <t>Chỉ Tiêu</t>
  </si>
  <si>
    <t>Sản Lượng</t>
  </si>
  <si>
    <t>% Đạt</t>
  </si>
  <si>
    <t>Mức Thưởng Tháng</t>
  </si>
  <si>
    <t>Giá Trị Thưởng Sản Lượng</t>
  </si>
  <si>
    <t>Sản Lượng Hỗ Trợ Vận Chuyển</t>
  </si>
  <si>
    <t>Mức Hỗ Trợ Vận Chuyển</t>
  </si>
  <si>
    <t>Giá Trị Hỗ Trợ Vận Chuyển</t>
  </si>
  <si>
    <t>Chi Phí Mặt Bằng</t>
  </si>
  <si>
    <t>Chi Phí Nhập Liệu</t>
  </si>
  <si>
    <t>Tổng Thành Tiền Hỗ Trợ Chưa Thuế</t>
  </si>
  <si>
    <t>[7]=[6]/[5]</t>
  </si>
  <si>
    <t>[8]</t>
  </si>
  <si>
    <t>[10]</t>
  </si>
  <si>
    <t>[11]</t>
  </si>
  <si>
    <t>[12]=[10]*[11]</t>
  </si>
  <si>
    <t>[13]</t>
  </si>
  <si>
    <t>[14]</t>
  </si>
  <si>
    <t>[15]=[9]+[12]+[13]+[14]</t>
  </si>
  <si>
    <t>HKD Đinh Thị Thúy</t>
  </si>
  <si>
    <t>CTY Thương Viên</t>
  </si>
  <si>
    <t>Công Ty Phước Lộc tân</t>
  </si>
  <si>
    <t>3. BẢNG TÍNH SẢN LƯỢNG BÁN BA TRẠM</t>
  </si>
  <si>
    <t>Sản Lượng Xuất Về DTR</t>
  </si>
  <si>
    <t>Giá Trị Thưởng</t>
  </si>
  <si>
    <t>Giá mua TB bao gồm hỗ trợ</t>
  </si>
  <si>
    <t>Giá mua đã bao gồm các khoản hỗ trợ phải thấp hơn giá trần TGĐ duyệt từng tháng</t>
  </si>
  <si>
    <t>Căn cứ vào mức sản lượng được ký kết trong hợp đồng/Phụ lục/PO
Kết quả dựa trên giá trị lũy kế đạt được trong quý</t>
  </si>
  <si>
    <t xml:space="preserve">Thương Viên (Pleiku) </t>
  </si>
  <si>
    <t>Anh Danh (Ninh Thuận)</t>
  </si>
  <si>
    <t>001J3000002HLlsIAG</t>
  </si>
  <si>
    <t>HKD Trần Thị Phương</t>
  </si>
  <si>
    <t>MÃ NCC THỐNG NHẤT</t>
  </si>
  <si>
    <t>KHÁCH HÀNG</t>
  </si>
  <si>
    <t>TỈNH</t>
  </si>
  <si>
    <t>KHU VỰC</t>
  </si>
  <si>
    <t>NCC0986088098</t>
  </si>
  <si>
    <t>Anh Khánh</t>
  </si>
  <si>
    <t>TP. Hồ Chí Minh</t>
  </si>
  <si>
    <t>NCC0358333717</t>
  </si>
  <si>
    <t>HKD Cô Tư</t>
  </si>
  <si>
    <t>NCC0946409351</t>
  </si>
  <si>
    <t>HKD Tạ Khánh Linh</t>
  </si>
  <si>
    <t>NCC0979575602</t>
  </si>
  <si>
    <t>Anh Năm</t>
  </si>
  <si>
    <t>NCC0357125780</t>
  </si>
  <si>
    <t>Phan Thị Mỹ Hòa</t>
  </si>
  <si>
    <t>NCC0932737937</t>
  </si>
  <si>
    <t>Chị Thủy (Dầu Giây)</t>
  </si>
  <si>
    <t>NCC0332593828</t>
  </si>
  <si>
    <t>Anh Chuẩn (Cẩm Mỹ)</t>
  </si>
  <si>
    <t>NCC0917222724</t>
  </si>
  <si>
    <t>CTY Khánh Nga</t>
  </si>
  <si>
    <t>NCC0867856222</t>
  </si>
  <si>
    <t>Huấn (Lâm Đồng)</t>
  </si>
  <si>
    <t>Tây Nguyên</t>
  </si>
  <si>
    <t>NCC0983655534</t>
  </si>
  <si>
    <t>Chị Miền (Gia Kiệm)</t>
  </si>
  <si>
    <t>NCC0965303303</t>
  </si>
  <si>
    <t>Anh Cừ (Cẩm Mỹ)</t>
  </si>
  <si>
    <t>NCC0777435707</t>
  </si>
  <si>
    <t>Anh Vương (Hố Nai)</t>
  </si>
  <si>
    <t>NCC0989317923</t>
  </si>
  <si>
    <t>HKD Hoàng Tiến</t>
  </si>
  <si>
    <t>NCC0333218679</t>
  </si>
  <si>
    <t>NCC0904119816</t>
  </si>
  <si>
    <t>Anh Quyết</t>
  </si>
  <si>
    <t>NCC0979898668</t>
  </si>
  <si>
    <t>Anh Lương (Ông Đồn)</t>
  </si>
  <si>
    <t>NCC0329027536</t>
  </si>
  <si>
    <t>CTY Đồng Lâm</t>
  </si>
  <si>
    <t>NCC0345800765</t>
  </si>
  <si>
    <t>HKD Phan Gia Thành</t>
  </si>
  <si>
    <t>NCC0905177389</t>
  </si>
  <si>
    <t>Chị Tuyết (Cam Ranh)</t>
  </si>
  <si>
    <t>NCC0383593139</t>
  </si>
  <si>
    <t>Chị Út - Bà Rịa</t>
  </si>
  <si>
    <t>NCC0935977898</t>
  </si>
  <si>
    <t>Công Hưng (Bình Thuận)</t>
  </si>
  <si>
    <t>NCC0937507558</t>
  </si>
  <si>
    <t>Chị Mận (Bình Định)</t>
  </si>
  <si>
    <t>Nam Miền Trung</t>
  </si>
  <si>
    <t>NCC0981747347</t>
  </si>
  <si>
    <t>Công Hiếu (Tân Phong)</t>
  </si>
  <si>
    <t>NCC0937047765</t>
  </si>
  <si>
    <t>Anh Tiên (Xuân Lộc)</t>
  </si>
  <si>
    <t>NCC0366874797</t>
  </si>
  <si>
    <t>Anh Tùng (Lâm Đồng)</t>
  </si>
  <si>
    <t>NCC0985138862</t>
  </si>
  <si>
    <t>HKD Ngô Thị Hoa</t>
  </si>
  <si>
    <t>NCC0907507207</t>
  </si>
  <si>
    <t xml:space="preserve">Anh Mạnh (Trảng Bom) </t>
  </si>
  <si>
    <t>NCC0933190211</t>
  </si>
  <si>
    <t>Anh Nhật (Trảng Bom)</t>
  </si>
  <si>
    <t>NCC0939910120</t>
  </si>
  <si>
    <t>Anh Liêm (Anh Lãng)</t>
  </si>
  <si>
    <t>NCC0933434694</t>
  </si>
  <si>
    <t>Anh Lâm</t>
  </si>
  <si>
    <t>NCC0981530866</t>
  </si>
  <si>
    <t>HTX Quang Chiến</t>
  </si>
  <si>
    <t>NCC0378734934</t>
  </si>
  <si>
    <t>Anh Hào (Bình Thuận)</t>
  </si>
  <si>
    <t>NCC0966467651</t>
  </si>
  <si>
    <t>Anh Thanh (Bình Lộc)</t>
  </si>
  <si>
    <t>NCC0853979123</t>
  </si>
  <si>
    <t>HKD Hồ Danh</t>
  </si>
  <si>
    <t>NCC0963276612</t>
  </si>
  <si>
    <t>Vựa Dân Thương</t>
  </si>
  <si>
    <t>NCC0399447899</t>
  </si>
  <si>
    <t>Chị Nga (Long Khánh)</t>
  </si>
  <si>
    <t>NCC0387252565</t>
  </si>
  <si>
    <t>Đắk Lắk</t>
  </si>
  <si>
    <t>NCC0964157589</t>
  </si>
  <si>
    <t>Anh Tâm (Trảng Dài)</t>
  </si>
  <si>
    <t>NCC0914756879</t>
  </si>
  <si>
    <t>NCC0346959020</t>
  </si>
  <si>
    <t>Anh Hiệp (Bình Định)</t>
  </si>
  <si>
    <t>NCC0989620674</t>
  </si>
  <si>
    <t>Anh Nghĩa (Tánh Linh)</t>
  </si>
  <si>
    <t>NCC0935178907</t>
  </si>
  <si>
    <t>NCC0905432012</t>
  </si>
  <si>
    <t>NCC0912721798</t>
  </si>
  <si>
    <t>Kim Thủy (Xuân Lộc)</t>
  </si>
  <si>
    <t>NCC0834351564</t>
  </si>
  <si>
    <t>HKD Trần Thị Hiệp</t>
  </si>
  <si>
    <t>NCC0984127039</t>
  </si>
  <si>
    <t>Anh Xuân (Lâm Đồng)</t>
  </si>
  <si>
    <t>NCC0962165263</t>
  </si>
  <si>
    <t>Anh Khải (Gia Kiệm)</t>
  </si>
  <si>
    <t>NCC0903552122</t>
  </si>
  <si>
    <t>Huỳnh Hồng</t>
  </si>
  <si>
    <t>NCC0879038989</t>
  </si>
  <si>
    <t>HKD Lê Phú Bình</t>
  </si>
  <si>
    <t>NCC0917090078</t>
  </si>
  <si>
    <t>Anh Trung (Long Khánh)</t>
  </si>
  <si>
    <t>NCC0384738604</t>
  </si>
  <si>
    <t xml:space="preserve">Anh Dưỡng (Thống Nhất) </t>
  </si>
  <si>
    <t>NCC0866058979</t>
  </si>
  <si>
    <t>Anh Tý</t>
  </si>
  <si>
    <t>NCC0983088595</t>
  </si>
  <si>
    <t>Lâm Việt Dũng</t>
  </si>
  <si>
    <t xml:space="preserve">NCC0906856525 </t>
  </si>
  <si>
    <t>Văn Dũng (Chú Sơn Long Khánh)</t>
  </si>
  <si>
    <t>NCC0918257158</t>
  </si>
  <si>
    <t>Anh Việt (Lâm Đồng)</t>
  </si>
  <si>
    <t>NCC0988377579</t>
  </si>
  <si>
    <t>HKD Chu Thị Nga</t>
  </si>
  <si>
    <t>NCC0905353895</t>
  </si>
  <si>
    <t>Anh Hà (Đà Lạt)</t>
  </si>
  <si>
    <t>NCC0382024734</t>
  </si>
  <si>
    <t>Anh Khánh (Gia Kiệm)</t>
  </si>
  <si>
    <t>NCC0377553866</t>
  </si>
  <si>
    <t>Anh Tứ (Đà Lạt)</t>
  </si>
  <si>
    <t>NCC0339020362</t>
  </si>
  <si>
    <t>Anh Suốt (Cẩm Mỹ)</t>
  </si>
  <si>
    <t>NCC0945188866</t>
  </si>
  <si>
    <t>Anh Tình (Long Khánh)</t>
  </si>
  <si>
    <t>NCC0839095339</t>
  </si>
  <si>
    <t>Hữu Nam Bình Thuận</t>
  </si>
  <si>
    <t>NCC0909734331</t>
  </si>
  <si>
    <t>Hồ Văn Ngà</t>
  </si>
  <si>
    <t>NCC0911382949</t>
  </si>
  <si>
    <t>NCC0375008585</t>
  </si>
  <si>
    <t xml:space="preserve"> Phúc Dũng Bà Rịa </t>
  </si>
  <si>
    <t>NCC0989447710</t>
  </si>
  <si>
    <t xml:space="preserve"> Chị Hường (Phú Yên) </t>
  </si>
  <si>
    <t>NCC0976605671</t>
  </si>
  <si>
    <t>NCC0903552124</t>
  </si>
  <si>
    <t>NGUYỄN NGỌC HUY</t>
  </si>
  <si>
    <t>NCC0914928092</t>
  </si>
  <si>
    <t xml:space="preserve"> Nhung Thương (Quảng Nam) </t>
  </si>
  <si>
    <t>NCC0393924779</t>
  </si>
  <si>
    <t>Chị Hòa (Biên Hòa)</t>
  </si>
  <si>
    <t>NCC0987710037</t>
  </si>
  <si>
    <t>Anh Bảo (Hùng Hồng)</t>
  </si>
  <si>
    <t>NCC0909566899</t>
  </si>
  <si>
    <t>Cơ Sở Anh Hương</t>
  </si>
  <si>
    <t>NCC0909594674</t>
  </si>
  <si>
    <t>Bích Trâm Long Khánh</t>
  </si>
  <si>
    <t>NCC0905341739</t>
  </si>
  <si>
    <t>Minh Ánh Bình Định</t>
  </si>
  <si>
    <t>NCC0975882862</t>
  </si>
  <si>
    <t>NCC0935940668</t>
  </si>
  <si>
    <t xml:space="preserve"> Chị Nguyệt (Pleiku) </t>
  </si>
  <si>
    <t>NCC0914114746</t>
  </si>
  <si>
    <t>Trung Đông</t>
  </si>
  <si>
    <t>Thừa Thiên Huế</t>
  </si>
  <si>
    <t>Bắc Miền Trung</t>
  </si>
  <si>
    <t>NCC0919559827</t>
  </si>
  <si>
    <t>Bích Liên (Đạ Tẻh)</t>
  </si>
  <si>
    <t>NCC0962537159</t>
  </si>
  <si>
    <t>Chị Nhàn (Bình Định)</t>
  </si>
  <si>
    <t>NCC0963131486</t>
  </si>
  <si>
    <t>Nguyễn Văn Thơ</t>
  </si>
  <si>
    <t>NCC0919097261</t>
  </si>
  <si>
    <t>Chú Thiếu (Lagi)</t>
  </si>
  <si>
    <t>NCC0374045499</t>
  </si>
  <si>
    <t>Thuận Chung</t>
  </si>
  <si>
    <t>NCC0989270448</t>
  </si>
  <si>
    <t>Anh Thành Cẩm Mỹ</t>
  </si>
  <si>
    <t>NCC0971563748</t>
  </si>
  <si>
    <t>Khang Khôi</t>
  </si>
  <si>
    <t>NCC0976001634</t>
  </si>
  <si>
    <t>NCC Chị Lên</t>
  </si>
  <si>
    <t>NCC0766733468</t>
  </si>
  <si>
    <t>CTY Thiên Nhật Việt</t>
  </si>
  <si>
    <t>NCC0368785579</t>
  </si>
  <si>
    <t>Lâm Gia Lai</t>
  </si>
  <si>
    <t>NCC0906891023</t>
  </si>
  <si>
    <t>Anh Chương (Trảng Bom)</t>
  </si>
  <si>
    <t>NCC0979669076</t>
  </si>
  <si>
    <t>Anh Thắng (Trảng Bom)</t>
  </si>
  <si>
    <t>NCC0989050536</t>
  </si>
  <si>
    <t>Vinh (Đà Lạt)</t>
  </si>
  <si>
    <t>NCC0972317979</t>
  </si>
  <si>
    <t>HKD Lê Văn Phòng</t>
  </si>
  <si>
    <t>NCC0393025396</t>
  </si>
  <si>
    <t>Hiền (Hàm Tân)</t>
  </si>
  <si>
    <t>NCC0913639783</t>
  </si>
  <si>
    <t>Anh Hoàng ĐL</t>
  </si>
  <si>
    <t>NCC0935740067</t>
  </si>
  <si>
    <t>NCC0855024999</t>
  </si>
  <si>
    <t>Anh Phong BD</t>
  </si>
  <si>
    <t>NCC0947643944</t>
  </si>
  <si>
    <t>Vựa Tâm Lan</t>
  </si>
  <si>
    <t>NCC0962565600</t>
  </si>
  <si>
    <t>Anh Trung La Ngà</t>
  </si>
  <si>
    <t>NCC0976332675</t>
  </si>
  <si>
    <t>Anh Bình (Xuân Phú)</t>
  </si>
  <si>
    <t>NCC0962764179</t>
  </si>
  <si>
    <t>Anh Mỹ - Bình Định</t>
  </si>
  <si>
    <t>NCC0943017575</t>
  </si>
  <si>
    <t>Chị My - Đắk Lắk</t>
  </si>
  <si>
    <t>NCC0989371152</t>
  </si>
  <si>
    <t>Anh Thắng (Xuân Hưng)</t>
  </si>
  <si>
    <t>NCC0905120160</t>
  </si>
  <si>
    <t>Trần Thị Phương</t>
  </si>
  <si>
    <t>NCC0343785785</t>
  </si>
  <si>
    <t>Vựa Anh Tiến Trảng Bom</t>
  </si>
  <si>
    <t>NCC0962686839</t>
  </si>
  <si>
    <t>CTY Bùi Gia</t>
  </si>
  <si>
    <t>NCC0339552289</t>
  </si>
  <si>
    <t>Quỳnh Quảng Ngãi</t>
  </si>
  <si>
    <t>NCC0979339253</t>
  </si>
  <si>
    <t>Hải Suối Nho</t>
  </si>
  <si>
    <t>NCC0974010799</t>
  </si>
  <si>
    <t>Anh Tuấn Gia Lai</t>
  </si>
  <si>
    <t>NCC0708161116</t>
  </si>
  <si>
    <t>NCC0903244002</t>
  </si>
  <si>
    <t>Lái Em Thu</t>
  </si>
  <si>
    <t>CTY Phúc Ngọc Hà</t>
  </si>
  <si>
    <t>NCC0947556042</t>
  </si>
  <si>
    <t>HKD Từ Thị Nhung</t>
  </si>
  <si>
    <t>NCC0905754209</t>
  </si>
  <si>
    <t>Anh Vương</t>
  </si>
  <si>
    <t>NCC0337259600</t>
  </si>
  <si>
    <t>Chị Thương (Định Quán)</t>
  </si>
  <si>
    <t>NCC0973883576</t>
  </si>
  <si>
    <t>Nhựa Quốc Việt</t>
  </si>
  <si>
    <t>NCC0985565355</t>
  </si>
  <si>
    <t>Quốc Việt - Quận 9</t>
  </si>
  <si>
    <t>NCC0979644897</t>
  </si>
  <si>
    <t>Anh Toản Châu Đức</t>
  </si>
  <si>
    <t>NCC0708853004</t>
  </si>
  <si>
    <t>HKD Nguyễn Văn Tạ</t>
  </si>
  <si>
    <t>NCC0382619291</t>
  </si>
  <si>
    <t>Anh Tĩnh</t>
  </si>
  <si>
    <t>NCC0978880252</t>
  </si>
  <si>
    <t>HKD Đặng Thị Tuyết Nhung</t>
  </si>
  <si>
    <t>NCC0386385458</t>
  </si>
  <si>
    <t>Trường Ái</t>
  </si>
  <si>
    <t>NCC0978075688</t>
  </si>
  <si>
    <t>HKD Buôn Bán Khí Oxi Xuân Lãm</t>
  </si>
  <si>
    <t>NCC0949908333</t>
  </si>
  <si>
    <t>Giang Thảo</t>
  </si>
  <si>
    <t>NCC0902051582</t>
  </si>
  <si>
    <t>CTY Môi Trường Phú Yên</t>
  </si>
  <si>
    <t>NCC0379639936</t>
  </si>
  <si>
    <t>Cô Nga (Phan Thiết)</t>
  </si>
  <si>
    <t>NCC0919134965</t>
  </si>
  <si>
    <t>Anh Phong Gia Kiệm</t>
  </si>
  <si>
    <t>NCC0965791069</t>
  </si>
  <si>
    <t>Anh Chiến (Xuyên Mộc)</t>
  </si>
  <si>
    <t>NCC0774408508</t>
  </si>
  <si>
    <t>Chị Ngọc Cam Ranh</t>
  </si>
  <si>
    <t>NCC0919417181</t>
  </si>
  <si>
    <t>HKD Nguyễn Thị Tâm</t>
  </si>
  <si>
    <t>NCC0912283464</t>
  </si>
  <si>
    <t>Anh Hiền Phan Thiết</t>
  </si>
  <si>
    <t>NCC0367115446</t>
  </si>
  <si>
    <t>HKD Sinh Hiện</t>
  </si>
  <si>
    <t>NCC0961424161</t>
  </si>
  <si>
    <t>Anh Luật Đắk Nông</t>
  </si>
  <si>
    <t>NCC0984281646</t>
  </si>
  <si>
    <t>HKD Phạm Ngọc Thuận</t>
  </si>
  <si>
    <t>NCC0343457130</t>
  </si>
  <si>
    <t>Anh Phương Lagi</t>
  </si>
  <si>
    <t>NCC0942812034</t>
  </si>
  <si>
    <t>Anh Bun Bình Thuận</t>
  </si>
  <si>
    <t>NCC0397489322</t>
  </si>
  <si>
    <t>Anh Sơn Xuân Lộc</t>
  </si>
  <si>
    <t>NCC0961785599</t>
  </si>
  <si>
    <t>Anh Việt Phú Mỹ</t>
  </si>
  <si>
    <t>NCC0983273763</t>
  </si>
  <si>
    <t>HKD Huỳnh Thị Lộc</t>
  </si>
  <si>
    <t>NCC0363244128</t>
  </si>
  <si>
    <t>Anh Hội - Bảo Quang</t>
  </si>
  <si>
    <t>NCC0979871858</t>
  </si>
  <si>
    <t>Chị Gái</t>
  </si>
  <si>
    <t>NCC0967699581</t>
  </si>
  <si>
    <t>Anh Đức Tánh Linh</t>
  </si>
  <si>
    <t>NCC0962116579</t>
  </si>
  <si>
    <t>Anh Chiến (Lành)-Đức Linh</t>
  </si>
  <si>
    <t>NCC0343565651</t>
  </si>
  <si>
    <t>Chị Liên (Gia Kiệm)</t>
  </si>
  <si>
    <t>NCC0338100122</t>
  </si>
  <si>
    <t>Tựu Xuân Lộc</t>
  </si>
  <si>
    <t>NCC0382554431</t>
  </si>
  <si>
    <t>Giang (Oanh) Nha Trang</t>
  </si>
  <si>
    <t>NCC0793546235</t>
  </si>
  <si>
    <t>Chị Gấm</t>
  </si>
  <si>
    <t>NCC0972358152</t>
  </si>
  <si>
    <t>Kim Việt</t>
  </si>
  <si>
    <t>NCC0935376667</t>
  </si>
  <si>
    <t>CTY MT Bình Định</t>
  </si>
  <si>
    <t>HKD Nguyễn Thị Nga</t>
  </si>
  <si>
    <t>NCC0333652195</t>
  </si>
  <si>
    <t>Duy Phương Vĩnh Long</t>
  </si>
  <si>
    <t>NCC0933249798</t>
  </si>
  <si>
    <t>Anh Nhân Đồng Tháp</t>
  </si>
  <si>
    <t>NCC0973818023</t>
  </si>
  <si>
    <t>Nhỉn Như Ngọc</t>
  </si>
  <si>
    <t>NCC0354793777</t>
  </si>
  <si>
    <t>Kiều Sang Đồng Tháp</t>
  </si>
  <si>
    <t>NCC0904395669</t>
  </si>
  <si>
    <t>Cao Nguyên Chương</t>
  </si>
  <si>
    <t>NCC0932898136</t>
  </si>
  <si>
    <t>Kiều Bình Thái</t>
  </si>
  <si>
    <t>NCC0768415838</t>
  </si>
  <si>
    <t>Chị Điệp Đồng Tháp</t>
  </si>
  <si>
    <t>NCC0389068800</t>
  </si>
  <si>
    <t>Phan Minh Khang</t>
  </si>
  <si>
    <t>NCC786852685</t>
  </si>
  <si>
    <t>Trần Dương Kiến Trúc Đồng Tháp</t>
  </si>
  <si>
    <t>NCC0375764745</t>
  </si>
  <si>
    <t>Chị Hưởng Hậu Giang</t>
  </si>
  <si>
    <t>NCC0901429504</t>
  </si>
  <si>
    <t>Anh Thơ</t>
  </si>
  <si>
    <t>NCC0343798720</t>
  </si>
  <si>
    <t>Bảy Liêm Vĩnh Long</t>
  </si>
  <si>
    <t>NCC0907206539</t>
  </si>
  <si>
    <t>Trọng Tín Đồng Tháp</t>
  </si>
  <si>
    <t>NCC0934670957</t>
  </si>
  <si>
    <t>Nguyễn Thị Huệ</t>
  </si>
  <si>
    <t>NCC0918722945</t>
  </si>
  <si>
    <t>Anh Ri Cần Thơ</t>
  </si>
  <si>
    <t>NCC0898039348</t>
  </si>
  <si>
    <t>Thanh Linh Đồng Tháp</t>
  </si>
  <si>
    <t>NCC0986447530</t>
  </si>
  <si>
    <t>Nguyễn Thị Trúc Mai</t>
  </si>
  <si>
    <t>NCC0918367624</t>
  </si>
  <si>
    <t>Anh Tài ĐC Vĩnh Long</t>
  </si>
  <si>
    <t>NCC0932806532</t>
  </si>
  <si>
    <t>Hộ Kinh Doanh Ngọc Thúy</t>
  </si>
  <si>
    <t>NCC0338917007</t>
  </si>
  <si>
    <t>Cô Nguyệt Tiền Giang</t>
  </si>
  <si>
    <t>NCC0981334234</t>
  </si>
  <si>
    <t>Anh Giang Vĩnh Long</t>
  </si>
  <si>
    <t>NCC0913173163</t>
  </si>
  <si>
    <t>Chị Điệp Kiên Giang</t>
  </si>
  <si>
    <t>NCC0847474712</t>
  </si>
  <si>
    <t>Nguyễn Hồng Mây Cần Thơ</t>
  </si>
  <si>
    <t>NCC0842584670</t>
  </si>
  <si>
    <t>Nguyễn Ngọc Sương</t>
  </si>
  <si>
    <t>NCC0931056049</t>
  </si>
  <si>
    <t>Anh Sơn Vĩnh Long</t>
  </si>
  <si>
    <t>NCC0937280379</t>
  </si>
  <si>
    <t>Hải Dũng</t>
  </si>
  <si>
    <t>NCC0976528463</t>
  </si>
  <si>
    <t>Anh Dự</t>
  </si>
  <si>
    <t>NCC0976408554</t>
  </si>
  <si>
    <t>Anh Lem 8 ngàn Hậu Giang</t>
  </si>
  <si>
    <t>NCC0888382494</t>
  </si>
  <si>
    <t>Anh Dũng Cao Lãnh</t>
  </si>
  <si>
    <t>NCC0946204947</t>
  </si>
  <si>
    <t>Nguyễn Thị Thúy Oanh</t>
  </si>
  <si>
    <t>NCC0938794028</t>
  </si>
  <si>
    <t>Lê Minh Luân</t>
  </si>
  <si>
    <t>NCC0919515330</t>
  </si>
  <si>
    <t>Lâm Tấn Thuận</t>
  </si>
  <si>
    <t>NCC0978403807</t>
  </si>
  <si>
    <t>Anh Ích Kiên Giang</t>
  </si>
  <si>
    <t>NCC0949194989</t>
  </si>
  <si>
    <t>Huỳnh Quốc Thái Sóc Trăng</t>
  </si>
  <si>
    <t>NCC0387799331</t>
  </si>
  <si>
    <t>Nguyễn Thị Tình</t>
  </si>
  <si>
    <t>NCC0784242032</t>
  </si>
  <si>
    <t>Lê Thanh Khải</t>
  </si>
  <si>
    <t>NCC0944503525</t>
  </si>
  <si>
    <t>Anh Lũy Bạc Liêu</t>
  </si>
  <si>
    <t>NCC0842992919</t>
  </si>
  <si>
    <t>Anh Hận Kiên Giang</t>
  </si>
  <si>
    <t>NCC0355917197</t>
  </si>
  <si>
    <t>Anh Phương Đồng Tháp</t>
  </si>
  <si>
    <t>NCC0913549824</t>
  </si>
  <si>
    <t>Lưu Văn An Sóc Trăng</t>
  </si>
  <si>
    <t>NCC0965957855</t>
  </si>
  <si>
    <t>Anh Phương Sóc Trăng</t>
  </si>
  <si>
    <t>NCC0913949606</t>
  </si>
  <si>
    <t>Trần Khải Vinh</t>
  </si>
  <si>
    <t>NCC032689153</t>
  </si>
  <si>
    <t>Anh Trắng Bạc Liêu</t>
  </si>
  <si>
    <t>NCC095</t>
  </si>
  <si>
    <t>NCC0919861526</t>
  </si>
  <si>
    <t>Lê Phong Phú</t>
  </si>
  <si>
    <t>NCC0961306737</t>
  </si>
  <si>
    <t>Anh Quốc Sóc Trăng</t>
  </si>
  <si>
    <t>NCC0352688699</t>
  </si>
  <si>
    <t>Anh Sang Sóc Trăng</t>
  </si>
  <si>
    <t>NCC0901050568</t>
  </si>
  <si>
    <t>Nguyễn Hữu Thành</t>
  </si>
  <si>
    <t>NCC0941597090</t>
  </si>
  <si>
    <t>Anh Tạo Cà Mau</t>
  </si>
  <si>
    <t>NCC0909395803</t>
  </si>
  <si>
    <t>Diễm Trung Sóc Trăng</t>
  </si>
  <si>
    <t>NCC0385316157</t>
  </si>
  <si>
    <t>Đỗ Thảo Nguyên</t>
  </si>
  <si>
    <t>NCC0977258525</t>
  </si>
  <si>
    <t>Bùi Thanh Tùng</t>
  </si>
  <si>
    <t>NCC0366351958</t>
  </si>
  <si>
    <t>Lê Văn Long</t>
  </si>
  <si>
    <t>NCC0945227228</t>
  </si>
  <si>
    <t>Thái Hòa Cần Thơ</t>
  </si>
  <si>
    <t>NCC0765000004</t>
  </si>
  <si>
    <t>Huỳnh Quang Thái</t>
  </si>
  <si>
    <t>NCC0985960780</t>
  </si>
  <si>
    <t>Bùi Chí Công</t>
  </si>
  <si>
    <t>NCC0348507778</t>
  </si>
  <si>
    <t>Chị Dung Hà Tiên Kiên Giang</t>
  </si>
  <si>
    <t>NCC0977747442</t>
  </si>
  <si>
    <t>Dì Sáu Hường Trà Vinh</t>
  </si>
  <si>
    <t>NCC0907570153</t>
  </si>
  <si>
    <t>Anh Cường Bạc Liêu</t>
  </si>
  <si>
    <t>NCC0919080969</t>
  </si>
  <si>
    <t>Anh Hải Cà Mau</t>
  </si>
  <si>
    <t>NCC0937898554</t>
  </si>
  <si>
    <t>Anh Phong Bình Thủy</t>
  </si>
  <si>
    <t>NCC0916650657</t>
  </si>
  <si>
    <t>Anh Phương Bạc Liêu</t>
  </si>
  <si>
    <t>NCC0986556179</t>
  </si>
  <si>
    <t>Huỳnh Thị Ngọc Hân</t>
  </si>
  <si>
    <t>NCC0945080852</t>
  </si>
  <si>
    <t>Cơ Sở Kinh Doanh Kiên Cường</t>
  </si>
  <si>
    <t>NCC0983878093</t>
  </si>
  <si>
    <t>Anh Trường Trưởng Tòa</t>
  </si>
  <si>
    <t>NCC0977528210</t>
  </si>
  <si>
    <t>Anh Hưng Bạc Liêu</t>
  </si>
  <si>
    <t>NCC0985116761</t>
  </si>
  <si>
    <t>Anh Lộc An Giang</t>
  </si>
  <si>
    <t>NCC0907407312</t>
  </si>
  <si>
    <t>Võ Nhật Trường</t>
  </si>
  <si>
    <t>NCC0937348946</t>
  </si>
  <si>
    <t>Đặng Thị Minh Xuân</t>
  </si>
  <si>
    <t>NCC0339270145</t>
  </si>
  <si>
    <t>Trần Thanh Vũ</t>
  </si>
  <si>
    <t>NCC0384782966</t>
  </si>
  <si>
    <t>Nguyễn Thị Cẩm Vân</t>
  </si>
  <si>
    <t>NCC098</t>
  </si>
  <si>
    <t>Phạm Minh Nhã Vĩnh Long</t>
  </si>
  <si>
    <t>NCC0918015054</t>
  </si>
  <si>
    <t>Anh Sáu Dậu Vĩnh Long</t>
  </si>
  <si>
    <t>NCC0939960607</t>
  </si>
  <si>
    <t>Sáu Phong</t>
  </si>
  <si>
    <t>NCC0919572232</t>
  </si>
  <si>
    <t>Hộ Kinh Doanh dầu nhớt Lộc Phát</t>
  </si>
  <si>
    <t>Tú Quyên Bạc Liêu</t>
  </si>
  <si>
    <t>NCC2837958668</t>
  </si>
  <si>
    <t>CÔNG TY CP SX TM ĐẠI HỒNG PHÚC</t>
  </si>
  <si>
    <t>NCC0949815681</t>
  </si>
  <si>
    <t>Anh Nhựt Cà Mau</t>
  </si>
  <si>
    <t>NCC0389827915</t>
  </si>
  <si>
    <t>Hộ Kinh Doanh Đỗ Thị Lành</t>
  </si>
  <si>
    <t>NCC0926222232</t>
  </si>
  <si>
    <t>Hộ Kinh Doanh Nguyễn Văn Thảo</t>
  </si>
  <si>
    <t>NCC0936592187</t>
  </si>
  <si>
    <t>Trần Hữu Phước</t>
  </si>
  <si>
    <t>NCC916673129</t>
  </si>
  <si>
    <t>Anh An</t>
  </si>
  <si>
    <t>NCC0367874400</t>
  </si>
  <si>
    <t>Võ Văn Ướt</t>
  </si>
  <si>
    <t>NCC0835177888</t>
  </si>
  <si>
    <t>Chị Lành Bạc Liêu</t>
  </si>
  <si>
    <t>NCC0916901111</t>
  </si>
  <si>
    <t>Anh Tài Cái Nước</t>
  </si>
  <si>
    <t>NCC0907343454</t>
  </si>
  <si>
    <t>Anh Toàn 3 Lợi</t>
  </si>
  <si>
    <t>NCC948699991</t>
  </si>
  <si>
    <t>Văn Cao Cát Tường</t>
  </si>
  <si>
    <t>NCC0386857798</t>
  </si>
  <si>
    <t>Chị Huệ Cần Thơ</t>
  </si>
  <si>
    <t>NCC0939732232</t>
  </si>
  <si>
    <t>Hộ Kinh Doanh Dư Hoài Được</t>
  </si>
  <si>
    <t>NCC0901001370</t>
  </si>
  <si>
    <t>Anh Tâm Vĩnh Long</t>
  </si>
  <si>
    <t>NCC0939858833</t>
  </si>
  <si>
    <t>Ngọc Châu Vĩnh Long</t>
  </si>
  <si>
    <t>NCC0385887665</t>
  </si>
  <si>
    <t>Anh Hùng Thoại Sơn</t>
  </si>
  <si>
    <t>NCC948520948</t>
  </si>
  <si>
    <t>Dũng Phú Tân</t>
  </si>
  <si>
    <t>NCC0905252966</t>
  </si>
  <si>
    <t>Nguyễn Văn Sang</t>
  </si>
  <si>
    <t>NCC939513363</t>
  </si>
  <si>
    <t>Minh Thành</t>
  </si>
  <si>
    <t>NCC0983179910</t>
  </si>
  <si>
    <t>Hộ Kinh Doanh Cơ Sở Thu Mua - Lột - ép chai nhựa PET Hoàng Tuấn</t>
  </si>
  <si>
    <t>0.00</t>
  </si>
  <si>
    <t>An Minh Trung</t>
  </si>
  <si>
    <t>NCC0983278954</t>
  </si>
  <si>
    <t>Lư Chí Tài</t>
  </si>
  <si>
    <t>NCC098534201</t>
  </si>
  <si>
    <t>Anh Tiền GR</t>
  </si>
  <si>
    <t>Anh Tài Cà Mau</t>
  </si>
  <si>
    <t>NCC784823757</t>
  </si>
  <si>
    <t>Minh Hiếu</t>
  </si>
  <si>
    <t>NCC0913727949</t>
  </si>
  <si>
    <t>Anh Thịnh</t>
  </si>
  <si>
    <t>NCC0869678481</t>
  </si>
  <si>
    <t>Anh Liêm Lấp Vò</t>
  </si>
  <si>
    <t>NCC0913960100</t>
  </si>
  <si>
    <t>Anh Tốt Vĩnh Long</t>
  </si>
  <si>
    <t>NCC0919195238</t>
  </si>
  <si>
    <t>Huỳnh Long Thới</t>
  </si>
  <si>
    <t>NCC0936010080</t>
  </si>
  <si>
    <t>Anh Tùng Cao Lãnh</t>
  </si>
  <si>
    <t>NCC0907000783</t>
  </si>
  <si>
    <t>Phan Huy Tâm</t>
  </si>
  <si>
    <t>NCC94994969</t>
  </si>
  <si>
    <t>Trương Hợp Tác</t>
  </si>
  <si>
    <t>NCC0939424062</t>
  </si>
  <si>
    <t>Kim Tiền</t>
  </si>
  <si>
    <t>NCC0833354051</t>
  </si>
  <si>
    <t>Mẫn</t>
  </si>
  <si>
    <t>NCC0939733449</t>
  </si>
  <si>
    <t>Anh Nhân Trà Vinh</t>
  </si>
  <si>
    <t>NCC0936981988</t>
  </si>
  <si>
    <t>Anh Đức Vị Thủy</t>
  </si>
  <si>
    <t>NCC0829661196</t>
  </si>
  <si>
    <t>Hà Quốc Khanh</t>
  </si>
  <si>
    <t>NCC0327049667</t>
  </si>
  <si>
    <t>Nguyễn Thị Ngọc Huyền</t>
  </si>
  <si>
    <t>NCC0398600409</t>
  </si>
  <si>
    <t>Đoàn Nhựt Phong Trà Vinh</t>
  </si>
  <si>
    <t>NCC0947875530</t>
  </si>
  <si>
    <t>Hộ Kinh Doanh Lê Tuấn Anh 90</t>
  </si>
  <si>
    <t>NCC0907989835</t>
  </si>
  <si>
    <t>Phạm Văn Nhờ</t>
  </si>
  <si>
    <t>NCC939685033</t>
  </si>
  <si>
    <t>Bích Thủy</t>
  </si>
  <si>
    <t>NCC0938932913</t>
  </si>
  <si>
    <t>Anh Nuôi Cần Thơ</t>
  </si>
  <si>
    <t>NCC0946365033</t>
  </si>
  <si>
    <t>Đoàn Thành Kính Cần Thơ</t>
  </si>
  <si>
    <t>NCC0919852268</t>
  </si>
  <si>
    <t>Anh Thảo Giồng Riềng</t>
  </si>
  <si>
    <t>NCC0774145372</t>
  </si>
  <si>
    <t>Trần Văn Được Cần Thơ</t>
  </si>
  <si>
    <t>NCC0939260041</t>
  </si>
  <si>
    <t>Chị Ngọc Trà Ôn</t>
  </si>
  <si>
    <t>NCC968648038</t>
  </si>
  <si>
    <t>Anh Sơn</t>
  </si>
  <si>
    <t>NCC0388265461</t>
  </si>
  <si>
    <t>Đặng Thị Hồng Nhung</t>
  </si>
  <si>
    <t>NCC0359567759</t>
  </si>
  <si>
    <t>Anh Phước Minh Long</t>
  </si>
  <si>
    <t>NCC0949266550</t>
  </si>
  <si>
    <t>Anh Tuấn</t>
  </si>
  <si>
    <t>NCC0942392575</t>
  </si>
  <si>
    <t>Vựa Tý</t>
  </si>
  <si>
    <t>NCC0909876344</t>
  </si>
  <si>
    <t>NCC0706337788</t>
  </si>
  <si>
    <t>Minh Nguyệt 2</t>
  </si>
  <si>
    <t>NCC0977977938</t>
  </si>
  <si>
    <t>Anh Thanh Đồng Tháp</t>
  </si>
  <si>
    <t>NCC0905509898</t>
  </si>
  <si>
    <t>Anh Quốc Châu Đốc</t>
  </si>
  <si>
    <t>NCC0982782156</t>
  </si>
  <si>
    <t>Hà Thị Duyên</t>
  </si>
  <si>
    <t>NCC0902937414</t>
  </si>
  <si>
    <t>Nguyễn Trí Hùng</t>
  </si>
  <si>
    <t>NCC918683018</t>
  </si>
  <si>
    <t>Anh Cường (Bố Thảo)</t>
  </si>
  <si>
    <t>Mỹ Xuyên</t>
  </si>
  <si>
    <t>NCC0915968484</t>
  </si>
  <si>
    <t>Hộ Kinh Doanh Trí Tâm</t>
  </si>
  <si>
    <t>NCC377586353</t>
  </si>
  <si>
    <t>Nguyễn Hiếu Nhân</t>
  </si>
  <si>
    <t>NCC0328690989</t>
  </si>
  <si>
    <t>Mai Văn Nhớ</t>
  </si>
  <si>
    <t>NCC0901018883</t>
  </si>
  <si>
    <t>Anh Xịn</t>
  </si>
  <si>
    <t>NCC0865547530</t>
  </si>
  <si>
    <t>Anh Khanh Tri Tôn</t>
  </si>
  <si>
    <t>NCC27677</t>
  </si>
  <si>
    <t>Anh Bảy</t>
  </si>
  <si>
    <t>NCC29230</t>
  </si>
  <si>
    <t>Nguyễn Thu Lan</t>
  </si>
  <si>
    <t>NCC28105</t>
  </si>
  <si>
    <t>Trung Anh</t>
  </si>
  <si>
    <t>NCC30682</t>
  </si>
  <si>
    <t>Hà Anh</t>
  </si>
  <si>
    <t>NCC26365</t>
  </si>
  <si>
    <t>Hộ Kinh Doanh Vựa Phế Liệu Như Ý</t>
  </si>
  <si>
    <t>NCC20/08/1990</t>
  </si>
  <si>
    <t>Anh Hải T11</t>
  </si>
  <si>
    <t>NCC33604</t>
  </si>
  <si>
    <t>Anh Thanh</t>
  </si>
  <si>
    <t>NCC0964558807</t>
  </si>
  <si>
    <t>Chị Cúc Kiên Giang</t>
  </si>
  <si>
    <t>NCC0939596969</t>
  </si>
  <si>
    <t>Hộ Kinh Doanh Châu Long CM</t>
  </si>
  <si>
    <t>NCC0358775693</t>
  </si>
  <si>
    <t>Anh Phúc Đồng Tháp</t>
  </si>
  <si>
    <t>NCC14/05/2002</t>
  </si>
  <si>
    <t>Nguyễn Thị Kim Phụng</t>
  </si>
  <si>
    <t>NCC0912424614</t>
  </si>
  <si>
    <t>Anh Linh Bạc Liêu</t>
  </si>
  <si>
    <t>NCC31021</t>
  </si>
  <si>
    <t>Thuận Bạc Liêu</t>
  </si>
  <si>
    <t>NCC17/06/1999</t>
  </si>
  <si>
    <t>Anh Quận Đồng Tháp</t>
  </si>
  <si>
    <t>NCC21/07/2004</t>
  </si>
  <si>
    <t xml:space="preserve">Anh Đông </t>
  </si>
  <si>
    <t>NCCMVL</t>
  </si>
  <si>
    <t>Nguyễn Thanh Nhàn</t>
  </si>
  <si>
    <t>NCC0918800850</t>
  </si>
  <si>
    <t>Anh Bảy Tèo</t>
  </si>
  <si>
    <t>NCC0902734649</t>
  </si>
  <si>
    <t>Anh Lâm Tân Phước</t>
  </si>
  <si>
    <t>NCC0918805710</t>
  </si>
  <si>
    <t>Anh Phúc Bình Đức</t>
  </si>
  <si>
    <t>NCC0966425303</t>
  </si>
  <si>
    <t>Anh Vũ Bến Tre</t>
  </si>
  <si>
    <t>NCC036</t>
  </si>
  <si>
    <t>Chị Thảo Tân Hiệp Tiền Giang</t>
  </si>
  <si>
    <t>NCC0909305223</t>
  </si>
  <si>
    <t>Anh Phong Chợ Gạo</t>
  </si>
  <si>
    <t>NCC0908417387</t>
  </si>
  <si>
    <t>Anh Phước Tiền Giang</t>
  </si>
  <si>
    <t>NCC0978724799</t>
  </si>
  <si>
    <t>Anh Thắng Châu Thành</t>
  </si>
  <si>
    <t>NCC0919647047</t>
  </si>
  <si>
    <t>Anh Việt Đông Hòa</t>
  </si>
  <si>
    <t>NCC0973364797</t>
  </si>
  <si>
    <t>Thanh Trí</t>
  </si>
  <si>
    <t>NCC0962092276</t>
  </si>
  <si>
    <t>Anh Chiến</t>
  </si>
  <si>
    <t>NCC0987116491</t>
  </si>
  <si>
    <t>Anh Phúc Mỹ Tho Tiền Giang</t>
  </si>
  <si>
    <t>NCC0345018858</t>
  </si>
  <si>
    <t>Anh Thuận Cai Lậy</t>
  </si>
  <si>
    <t>NCC0333333565</t>
  </si>
  <si>
    <t>Anh Sang Trung Lương</t>
  </si>
  <si>
    <t>NCC0919617950</t>
  </si>
  <si>
    <t>HKD Nguyễn Thị Lệ Hằng</t>
  </si>
  <si>
    <t>NCC0982494458</t>
  </si>
  <si>
    <t>Anh Út Trung An</t>
  </si>
  <si>
    <t>NCC026</t>
  </si>
  <si>
    <t>Anh Dũng Vĩnh Kim</t>
  </si>
  <si>
    <t>NCC0782220333</t>
  </si>
  <si>
    <t>Anh Sang Kim Sơn</t>
  </si>
  <si>
    <t>NCC0914703695</t>
  </si>
  <si>
    <t>Anh Chín Node Tiền Giang</t>
  </si>
  <si>
    <t>NCC0778807264</t>
  </si>
  <si>
    <t>Anh Sơn Tiền Giang</t>
  </si>
  <si>
    <t>NCC0977724124</t>
  </si>
  <si>
    <t>Anh Đồng Bến Tre</t>
  </si>
  <si>
    <t>NCC0916625066</t>
  </si>
  <si>
    <t>Anh Nghĩa Bến Tre</t>
  </si>
  <si>
    <t>NCC039</t>
  </si>
  <si>
    <t>Anh Bằng Bến Tre</t>
  </si>
  <si>
    <t>NCC017</t>
  </si>
  <si>
    <t>Anh Nhựt Mỹ Tho Tiền Giang</t>
  </si>
  <si>
    <t>NCC0917133411</t>
  </si>
  <si>
    <t>Anh Cường Tân Mỹ Chánh</t>
  </si>
  <si>
    <t>NCC0988212554</t>
  </si>
  <si>
    <t>Anh Trí CaI Lậy Tiền Giang</t>
  </si>
  <si>
    <t>NCC0772045459</t>
  </si>
  <si>
    <t>Anh Phúc Vĩnh Kim Tiền Giang</t>
  </si>
  <si>
    <t>NCC0855333097</t>
  </si>
  <si>
    <t>Chị Trúc Chợ Gạo Tiền Giang</t>
  </si>
  <si>
    <t>NCC0982791775</t>
  </si>
  <si>
    <t>Anh Hùng Chợ Bưng</t>
  </si>
  <si>
    <t>NCC0978943442</t>
  </si>
  <si>
    <t>Anh Tâm Mộc Hóa</t>
  </si>
  <si>
    <t>NCC0345297202</t>
  </si>
  <si>
    <t>Anh Phong Chi Tiền Giang</t>
  </si>
  <si>
    <t>NCC0703921384</t>
  </si>
  <si>
    <t>Anh Mặn Tiền Giang</t>
  </si>
  <si>
    <t>NCC0985819192</t>
  </si>
  <si>
    <t>Anh Phước Vĩnh Kim</t>
  </si>
  <si>
    <t>NCC0969914064</t>
  </si>
  <si>
    <t>Anh Bình Mỹ Tho</t>
  </si>
  <si>
    <t>NCC0366145237</t>
  </si>
  <si>
    <t>Chị Năm Kim</t>
  </si>
  <si>
    <t>NCC0929229339</t>
  </si>
  <si>
    <t>Anh Trọng Châu Thành</t>
  </si>
  <si>
    <t>NCC0933915997</t>
  </si>
  <si>
    <t>Chị Luyến Chợ Gạo</t>
  </si>
  <si>
    <t>NCC0989697694</t>
  </si>
  <si>
    <t>Anh Tí Trà Vinh</t>
  </si>
  <si>
    <t>NCC0944333037</t>
  </si>
  <si>
    <t>Anh Tài Long An</t>
  </si>
  <si>
    <t>NCC013</t>
  </si>
  <si>
    <t>Anh Kim Bình Đức Tiền Giang</t>
  </si>
  <si>
    <t>NCC0908681589</t>
  </si>
  <si>
    <t>Anh Tí Tân Phước</t>
  </si>
  <si>
    <t>NCC0908494853</t>
  </si>
  <si>
    <t>Anh Thiết Tiền Giang</t>
  </si>
  <si>
    <t>NCC0913741074</t>
  </si>
  <si>
    <t>Anh Quí Bình Đức</t>
  </si>
  <si>
    <t>NCC019</t>
  </si>
  <si>
    <t>Anh Thạch Chợ Gạo Tiền Giang</t>
  </si>
  <si>
    <t>NCC0389408659</t>
  </si>
  <si>
    <t>Chị Ngọc Đồng Tâm Tiền Giang</t>
  </si>
  <si>
    <t>NCC0972637109</t>
  </si>
  <si>
    <t>Anh Tèo Kim Sơn Tiền Giang</t>
  </si>
  <si>
    <t>NCC0914908914</t>
  </si>
  <si>
    <t>Anh Bảo Mỹ Tho Tiền Giang</t>
  </si>
  <si>
    <t>NCC0918253362</t>
  </si>
  <si>
    <t>Anh Hậu Bến Tre</t>
  </si>
  <si>
    <t>NCC0918545976</t>
  </si>
  <si>
    <t>Anh Tí Mỹ Tho Tiền Giang</t>
  </si>
  <si>
    <t>NCC0358328340</t>
  </si>
  <si>
    <t>Anh Trung Bến Tranh</t>
  </si>
  <si>
    <t>NCC0919229426</t>
  </si>
  <si>
    <t>Anh Quang Bến Tre</t>
  </si>
  <si>
    <t>NCC0934057044</t>
  </si>
  <si>
    <t>Anh Việt Tân Hiệp</t>
  </si>
  <si>
    <t>NCC0986195575</t>
  </si>
  <si>
    <t>Anh Thu Lì Bến Tre</t>
  </si>
  <si>
    <t>NCC028</t>
  </si>
  <si>
    <t>Chị Liễu Long Định Tiền Giang</t>
  </si>
  <si>
    <t>NCC0975402558</t>
  </si>
  <si>
    <t>Anh Dũng Tiền Giang</t>
  </si>
  <si>
    <t>Quốc Hưng</t>
  </si>
  <si>
    <t>NCC0937294839</t>
  </si>
  <si>
    <t>Anh Hải Tiền Giang</t>
  </si>
  <si>
    <t>NCC0986521334</t>
  </si>
  <si>
    <t>Anh Trí Cẩm Sơn</t>
  </si>
  <si>
    <t>NCC0795995656</t>
  </si>
  <si>
    <t>Anh Nhân Tiền Giang</t>
  </si>
  <si>
    <t>NCC0332267921</t>
  </si>
  <si>
    <t>Anh Lộc Cai Lậy Tiền Giang</t>
  </si>
  <si>
    <t>NCC0379775264</t>
  </si>
  <si>
    <t>Anh Huy Tiền Giang</t>
  </si>
  <si>
    <t>NCC0366698881</t>
  </si>
  <si>
    <t>Anh Long Bến Tre</t>
  </si>
  <si>
    <t>NCC0918817638</t>
  </si>
  <si>
    <t>Chị Vân Bến Tre</t>
  </si>
  <si>
    <t>NCC0938286389</t>
  </si>
  <si>
    <t>Chị Năm Tân Hiệp Tiền Giang</t>
  </si>
  <si>
    <t>NCC046</t>
  </si>
  <si>
    <t>Anh Thảo Bến Tre</t>
  </si>
  <si>
    <t>NCC0886993639</t>
  </si>
  <si>
    <t>Chị Duyên Long Định</t>
  </si>
  <si>
    <t>NCC0367034304</t>
  </si>
  <si>
    <t>Anh Lãm Bến Tre</t>
  </si>
  <si>
    <t>NCC0916329737</t>
  </si>
  <si>
    <t>Anh Cầu Gò Công Tiền Giang</t>
  </si>
  <si>
    <t>NCC0364822889</t>
  </si>
  <si>
    <t>Anh Tám Bến Tre</t>
  </si>
  <si>
    <t>NCC0988727571</t>
  </si>
  <si>
    <t>Công ty Tấn Phát</t>
  </si>
  <si>
    <t>NCC0909741057</t>
  </si>
  <si>
    <t>Anh Tân Tân Phú</t>
  </si>
  <si>
    <t>NCC0369951300</t>
  </si>
  <si>
    <t>Anh Rỡ Chợ Gạo</t>
  </si>
  <si>
    <t>NCC0989047376</t>
  </si>
  <si>
    <t>Anh Tâm Mỏ Cày</t>
  </si>
  <si>
    <t>NCC037</t>
  </si>
  <si>
    <t>Chị Trang Mỹ Tho Tiền Giang</t>
  </si>
  <si>
    <t>NCC0704939215</t>
  </si>
  <si>
    <t>Chị Trúc Mỹ Tho</t>
  </si>
  <si>
    <t>NCC0346572975</t>
  </si>
  <si>
    <t>Chị Nhờ Bến Tre</t>
  </si>
  <si>
    <t>NCC0961586930</t>
  </si>
  <si>
    <t>Anh Minh Tiền Giang</t>
  </si>
  <si>
    <t>NCC0916356597</t>
  </si>
  <si>
    <t>HKD Đoàn Thị Hái</t>
  </si>
  <si>
    <t>NCC0963336813</t>
  </si>
  <si>
    <t>Anh Tiến Bến Tre</t>
  </si>
  <si>
    <t>NCC0939031231</t>
  </si>
  <si>
    <t>Anh Hiếu Thạnh Phú</t>
  </si>
  <si>
    <t>NCC0396771927</t>
  </si>
  <si>
    <t>Anh Phước Song Thuận</t>
  </si>
  <si>
    <t>NCC0913696991</t>
  </si>
  <si>
    <t>Anh Lạc Trung Lương</t>
  </si>
  <si>
    <t>NCC0772042459</t>
  </si>
  <si>
    <t>Anh Lộc Vĩnh Kim</t>
  </si>
  <si>
    <t>NCC0977840993</t>
  </si>
  <si>
    <t>Anh Khánh Dưỡng Điềm</t>
  </si>
  <si>
    <t>NCC0967750269</t>
  </si>
  <si>
    <t>Anh Hiệp Long Hưng</t>
  </si>
  <si>
    <t>NCC0932123272</t>
  </si>
  <si>
    <t>Chị Lan Tân Hương</t>
  </si>
  <si>
    <t>Chị Thịnh Bình Đức</t>
  </si>
  <si>
    <t>NCC0385673124</t>
  </si>
  <si>
    <t>Anh Hòa Vĩnh Hưng</t>
  </si>
  <si>
    <t>NCC0327484201</t>
  </si>
  <si>
    <t>Anh Sáu Tiền Giang</t>
  </si>
  <si>
    <t>NCC0968896088</t>
  </si>
  <si>
    <t>Chị Tươi Tam Hiệp</t>
  </si>
  <si>
    <t>NCC0763888878</t>
  </si>
  <si>
    <t>Anh Kiệt Gò Công</t>
  </si>
  <si>
    <t>NCC0766991588</t>
  </si>
  <si>
    <t>Anh An Trung An</t>
  </si>
  <si>
    <t>NCC0825511539</t>
  </si>
  <si>
    <t>Anh Tùng Chợ Gạo Tiền Giang</t>
  </si>
  <si>
    <t>NCC0372666858</t>
  </si>
  <si>
    <t>Anh Chí Chợ Gạo</t>
  </si>
  <si>
    <t>NCC0918658799</t>
  </si>
  <si>
    <t>Anh Hiếu Bình Đại</t>
  </si>
  <si>
    <t>NCC0394187053</t>
  </si>
  <si>
    <t>Chị Mười Bến Tre</t>
  </si>
  <si>
    <t>NCC0965165749</t>
  </si>
  <si>
    <t>Anh Lợi Chợ Gạo Tiền Giang</t>
  </si>
  <si>
    <t>NCC0944333013</t>
  </si>
  <si>
    <t>Chị Tâm Long An</t>
  </si>
  <si>
    <t>NCC0946282839</t>
  </si>
  <si>
    <t>Anh Tum Bến Tre</t>
  </si>
  <si>
    <t>NCC0935779342</t>
  </si>
  <si>
    <t>Anh Tâm Tam Hiệp</t>
  </si>
  <si>
    <t>NCC035</t>
  </si>
  <si>
    <t>Chị Tám Vạn Thuận Tiền Giang</t>
  </si>
  <si>
    <t>NCC0396481561</t>
  </si>
  <si>
    <t>Anh Mẫn Mỹ Tho</t>
  </si>
  <si>
    <t>NCC0901249754</t>
  </si>
  <si>
    <t>Anh Cường Kim Sơn</t>
  </si>
  <si>
    <t>NCC0378463819</t>
  </si>
  <si>
    <t>Anh Hiếu Thân Cữu Nghĩa</t>
  </si>
  <si>
    <t>Anh Tươi Phú Kiết</t>
  </si>
  <si>
    <t>NCC0395093771</t>
  </si>
  <si>
    <t>Anh Nhiều Bến Tre</t>
  </si>
  <si>
    <t>NCC011</t>
  </si>
  <si>
    <t>Anh Hoàng Long Định Tiền Giang</t>
  </si>
  <si>
    <t>Hộ Kinh Doanh Thành Thúy</t>
  </si>
  <si>
    <t>Anh Khiêm - Đức Hòa</t>
  </si>
  <si>
    <t>Anh Khoa Cần Thơ</t>
  </si>
  <si>
    <t>Anh Thanh Cai Lậy</t>
  </si>
  <si>
    <t>NCC0977989267</t>
  </si>
  <si>
    <t>Anh Tiến Long Định</t>
  </si>
  <si>
    <t>Công Hưng - Nhà Bè</t>
  </si>
  <si>
    <t>NCC0916702922</t>
  </si>
  <si>
    <t>Anh Thông Bến Tre</t>
  </si>
  <si>
    <t>NCC0987113354</t>
  </si>
  <si>
    <t>Anh Ngoan Cai Lậy Tiền Giang</t>
  </si>
  <si>
    <t>NCC022</t>
  </si>
  <si>
    <t>Anh Thiện Chợ Gạo Tiền Giang</t>
  </si>
  <si>
    <t>Anh Hải Chợ Gạo</t>
  </si>
  <si>
    <t>Anh Biếu Long Giang</t>
  </si>
  <si>
    <t xml:space="preserve">Anh Biếu </t>
  </si>
  <si>
    <t>NCC0906839790</t>
  </si>
  <si>
    <t>HKD CS Thu Mua Chai Nhựa Tái Chế Phú Vinh</t>
  </si>
  <si>
    <t>NCC0913170103</t>
  </si>
  <si>
    <t>Anh Thoại An Giang</t>
  </si>
  <si>
    <t>NCC0932504328</t>
  </si>
  <si>
    <t>Anh Lâm Kiên Giang</t>
  </si>
  <si>
    <t>NCC099</t>
  </si>
  <si>
    <t>Anh Thanh Bến Tre</t>
  </si>
  <si>
    <t>Công ty SG Xanh</t>
  </si>
  <si>
    <t>SG Xanh - Trạm</t>
  </si>
  <si>
    <t>NCC012</t>
  </si>
  <si>
    <t>Anh Khá Tân Hương Tiền Giang</t>
  </si>
  <si>
    <t>NCC0916829888</t>
  </si>
  <si>
    <t>Trầm Hiếu Hiền</t>
  </si>
  <si>
    <t>NCC0971192081</t>
  </si>
  <si>
    <t>Anh Nhựt Chợ Bưng</t>
  </si>
  <si>
    <t>NCC394452799</t>
  </si>
  <si>
    <t>Anh Mười Châu Thành</t>
  </si>
  <si>
    <t>NCC0902354484</t>
  </si>
  <si>
    <t>Anh Trung - Đức Huệ</t>
  </si>
  <si>
    <t>NCC0939880828</t>
  </si>
  <si>
    <t>Anh Toàn Đồng Tâm</t>
  </si>
  <si>
    <t>NCC0949170552</t>
  </si>
  <si>
    <t>Anh Hoàng Thới Bình</t>
  </si>
  <si>
    <t>NCC0978796518</t>
  </si>
  <si>
    <t>Anh Đô Bến Tre</t>
  </si>
  <si>
    <t>NCC0939169729</t>
  </si>
  <si>
    <t>Anh Tuấn Mỹ Tho Tiền Giang</t>
  </si>
  <si>
    <t>NCC0382835247</t>
  </si>
  <si>
    <t>Chị Linh Gò Công</t>
  </si>
  <si>
    <t>NCC0964130999</t>
  </si>
  <si>
    <t>Chị Vinh Bến Tre</t>
  </si>
  <si>
    <t>NCC0939569676</t>
  </si>
  <si>
    <t>Trương Văn Toản</t>
  </si>
  <si>
    <t>NCC0327738344</t>
  </si>
  <si>
    <t>Chị Phượng Tân Trụ</t>
  </si>
  <si>
    <t>NCC0396160486</t>
  </si>
  <si>
    <t>Chị Hà Tân Hương</t>
  </si>
  <si>
    <t>NCC0378685527</t>
  </si>
  <si>
    <t>Anh Dinh Bến Tre</t>
  </si>
  <si>
    <t>NCC0366405586</t>
  </si>
  <si>
    <t>Anh Trung Mỹ Phong</t>
  </si>
  <si>
    <t>NCC0961087792</t>
  </si>
  <si>
    <t>Anh Cảnh Cao Lãnh</t>
  </si>
  <si>
    <t>NCC0949141676</t>
  </si>
  <si>
    <t>Lâm Ý Kía</t>
  </si>
  <si>
    <t>Phúc Long</t>
  </si>
  <si>
    <t>Chị Hạnh Châu Thành</t>
  </si>
  <si>
    <t>Anh Truyền Gò Công</t>
  </si>
  <si>
    <t>NCC0948475767</t>
  </si>
  <si>
    <t>Phú Cà Mau</t>
  </si>
  <si>
    <t>NCC0368981134</t>
  </si>
  <si>
    <t>Anh Trí Song Thuận</t>
  </si>
  <si>
    <t>NCC0344482802</t>
  </si>
  <si>
    <t>Anh Thái Mỹ Tho</t>
  </si>
  <si>
    <t>NCC0795409360</t>
  </si>
  <si>
    <t>Anh Vàng Bến Tre</t>
  </si>
  <si>
    <t>Anh Dũng Quận 12</t>
  </si>
  <si>
    <t>NCC0949723239</t>
  </si>
  <si>
    <t>Chị Linh Bến Tre</t>
  </si>
  <si>
    <t>NCC0366490917</t>
  </si>
  <si>
    <t>NCC0984551577</t>
  </si>
  <si>
    <t>HKD Hà Thị Kim Chi</t>
  </si>
  <si>
    <t>Anh Thạch CM</t>
  </si>
  <si>
    <t>Cô Kía Bạc Liêu</t>
  </si>
  <si>
    <t>NCC0979702479</t>
  </si>
  <si>
    <t>Chị Hiền Tân Phước</t>
  </si>
  <si>
    <t>NCC0949232630</t>
  </si>
  <si>
    <t>Anh Tú Bến Tre</t>
  </si>
  <si>
    <t>Chị Huỳnh Trung An</t>
  </si>
  <si>
    <t>NCC0918918463</t>
  </si>
  <si>
    <t>Anh Duy Duyên Hải</t>
  </si>
  <si>
    <t>Anh Út</t>
  </si>
  <si>
    <t>Chị Lệ</t>
  </si>
  <si>
    <t>NCC0981289887</t>
  </si>
  <si>
    <t>Chị Tiêu - Hóc Môn</t>
  </si>
  <si>
    <t>NCC0909525957</t>
  </si>
  <si>
    <t>Chị Huyền - Phúc Lộc Hoàng Gia</t>
  </si>
  <si>
    <t>NCC0794233000</t>
  </si>
  <si>
    <t>Anh Ngọc Điệp Trà Vinh</t>
  </si>
  <si>
    <t>NCC0932955335</t>
  </si>
  <si>
    <t>Anh Tài</t>
  </si>
  <si>
    <t>NCC0906324113</t>
  </si>
  <si>
    <t>NCC0967076276</t>
  </si>
  <si>
    <t>Vũ Lê</t>
  </si>
  <si>
    <t>NCC0942206311</t>
  </si>
  <si>
    <t>Anh Minh Cà Mau</t>
  </si>
  <si>
    <t>NCC025</t>
  </si>
  <si>
    <t>Chị Giang Tiền Giang</t>
  </si>
  <si>
    <t>NCC0986109871</t>
  </si>
  <si>
    <t>NCC0918820782</t>
  </si>
  <si>
    <t>Anh Khanh Ba Tri</t>
  </si>
  <si>
    <t>NCC0963875863</t>
  </si>
  <si>
    <t>Anh Thanh Trà Vinh</t>
  </si>
  <si>
    <t>NCC0847202239</t>
  </si>
  <si>
    <t>Chị Phương Cái Bè Tiền Giang</t>
  </si>
  <si>
    <t>NCC0946789220</t>
  </si>
  <si>
    <t>Anh Cường - Thủ Thừa</t>
  </si>
  <si>
    <t>NCC0984868244</t>
  </si>
  <si>
    <t>Chị Hoa Long An</t>
  </si>
  <si>
    <t>NCC0916303736</t>
  </si>
  <si>
    <t>Anh Hữu Cà Mau</t>
  </si>
  <si>
    <t>NCC0395176771</t>
  </si>
  <si>
    <t>Chị Hân Bến Tre</t>
  </si>
  <si>
    <t>NCC0916659020</t>
  </si>
  <si>
    <t>Chị Phượng - Tân Thạnh</t>
  </si>
  <si>
    <t>NCC0917407197</t>
  </si>
  <si>
    <t>Anh Sơn Long Giang</t>
  </si>
  <si>
    <t>NCC0396906099</t>
  </si>
  <si>
    <t>Anh Nam - Thân Cửu Nghĩa</t>
  </si>
  <si>
    <t>NCC0854668789</t>
  </si>
  <si>
    <t>Anh Vân Long An</t>
  </si>
  <si>
    <t>NCC0912784777</t>
  </si>
  <si>
    <t>Anh Hoàng Thạnh Phú</t>
  </si>
  <si>
    <t>NCC0843394839</t>
  </si>
  <si>
    <t>Chị Như - TA</t>
  </si>
  <si>
    <t>NCC0948919491</t>
  </si>
  <si>
    <t>Anh Thảo Mỹ Tho Tiền Giang</t>
  </si>
  <si>
    <t>NCC'0335847970</t>
  </si>
  <si>
    <t>NCC0916787158</t>
  </si>
  <si>
    <t>Anh Đông - Thạnh Hóa</t>
  </si>
  <si>
    <t>NCC0978073094</t>
  </si>
  <si>
    <t>Anh Vũ Giồng Trôm</t>
  </si>
  <si>
    <t>NCC0909090200</t>
  </si>
  <si>
    <t>Anh Kha</t>
  </si>
  <si>
    <t>NCC0704785563</t>
  </si>
  <si>
    <t>Chị Yến Chợ Bưng</t>
  </si>
  <si>
    <t>NCC014</t>
  </si>
  <si>
    <t>Anh Minh Bình Đức Tiền Giang</t>
  </si>
  <si>
    <t>Chị Phương Thảo Chợ Gạo</t>
  </si>
  <si>
    <t>NCC0932199651</t>
  </si>
  <si>
    <t>Anh Giàu Bến Tre</t>
  </si>
  <si>
    <t>NCC0356628977</t>
  </si>
  <si>
    <t>Anh Lộc Ba Tri</t>
  </si>
  <si>
    <t>NCC0966305050</t>
  </si>
  <si>
    <t>Anh Lợi - Tân Thạnh</t>
  </si>
  <si>
    <t>NCC0977861861</t>
  </si>
  <si>
    <t>Dì Phương</t>
  </si>
  <si>
    <t>NCC'0921977586</t>
  </si>
  <si>
    <t>Anh Phước - QL62</t>
  </si>
  <si>
    <t>NCC0944867533</t>
  </si>
  <si>
    <t>Anh Trường Kim Sơn</t>
  </si>
  <si>
    <t>NCC0333816163</t>
  </si>
  <si>
    <t>Tuấn Anh - Bến Lức</t>
  </si>
  <si>
    <t>NCC0944870000</t>
  </si>
  <si>
    <t>Anh Huệ Cà Mau</t>
  </si>
  <si>
    <t>NCC0983399552</t>
  </si>
  <si>
    <t>Lê Văn Trung Gò Dầu</t>
  </si>
  <si>
    <t>NCC0949738752</t>
  </si>
  <si>
    <t>Anh Hiệp Cà Mau</t>
  </si>
  <si>
    <t>NCC0945865313</t>
  </si>
  <si>
    <t>NCC0815002004</t>
  </si>
  <si>
    <t>Chị Trang - LVK</t>
  </si>
  <si>
    <t>NCC0919153933</t>
  </si>
  <si>
    <t>Anh Phước</t>
  </si>
  <si>
    <t>NCC0332465539</t>
  </si>
  <si>
    <t>HKD Trăm Ngọc Phát</t>
  </si>
  <si>
    <t>Anh Khiêm - Thủ Thừa</t>
  </si>
  <si>
    <t>NCC0918197282</t>
  </si>
  <si>
    <t>Cô Nguyệt</t>
  </si>
  <si>
    <t>NCC0327043339</t>
  </si>
  <si>
    <t>NCC Chị Ngọc Tháp Mười</t>
  </si>
  <si>
    <t>NCC0905968620</t>
  </si>
  <si>
    <t>Anh Thắng Bến Tre</t>
  </si>
  <si>
    <t>NCC0974466225</t>
  </si>
  <si>
    <t>HKD Lê Văn Thảo</t>
  </si>
  <si>
    <t>NCC0972315454</t>
  </si>
  <si>
    <t>NCC0919277638</t>
  </si>
  <si>
    <t>Anh Vũ Chợ Gạo Tiền Giang</t>
  </si>
  <si>
    <t>NCC0946683438</t>
  </si>
  <si>
    <t>NCC0984123117</t>
  </si>
  <si>
    <t>NCC'0855333097</t>
  </si>
  <si>
    <t>NCC0337780660</t>
  </si>
  <si>
    <t>NCC0708157179</t>
  </si>
  <si>
    <t>Anh Tài Tân Phước</t>
  </si>
  <si>
    <t>NCC0932926920</t>
  </si>
  <si>
    <t>Ncc Tân Minh Huy</t>
  </si>
  <si>
    <t>NCC0914532832</t>
  </si>
  <si>
    <t>Anh Hai Trà Vinh</t>
  </si>
  <si>
    <t>Cơ sở Kinh Doanh Kiên Cường</t>
  </si>
  <si>
    <t>Công ty TNHH Thiện An Recycling</t>
  </si>
  <si>
    <t>TRẠM</t>
  </si>
  <si>
    <t>DANH SÁCH NCC NVL 3 TRẠM</t>
  </si>
  <si>
    <t>Tháng</t>
  </si>
  <si>
    <t>TỔNG ĐẠI LỘC</t>
  </si>
  <si>
    <t>TỔNG ĐỒNG LÂM</t>
  </si>
  <si>
    <t>TỔNG KHÁNH NGA</t>
  </si>
  <si>
    <t>Giá bán về DTR</t>
  </si>
  <si>
    <t>Chính sách thưởng sản lượng tháng</t>
  </si>
  <si>
    <t>đồng/kg/tháng</t>
  </si>
  <si>
    <t>đồng/kg/quý</t>
  </si>
  <si>
    <t>đồng/kg/năm</t>
  </si>
  <si>
    <t>Chính sách thưởng sản lượng quý</t>
  </si>
  <si>
    <t>Chính sách thưởng sản lượng năm</t>
  </si>
  <si>
    <t>Chính sách có hiệu lực từ 01.01.2026</t>
  </si>
  <si>
    <r>
      <t xml:space="preserve">Áp dụng đối với </t>
    </r>
    <r>
      <rPr>
        <b/>
        <sz val="11"/>
        <color rgb="FF0000FF"/>
        <rFont val="Aptos Narrow"/>
        <family val="2"/>
        <scheme val="minor"/>
      </rPr>
      <t>chai B0 ép kiện</t>
    </r>
    <r>
      <rPr>
        <sz val="11"/>
        <color theme="1"/>
        <rFont val="Aptos Narrow"/>
        <family val="2"/>
        <charset val="163"/>
        <scheme val="minor"/>
      </rPr>
      <t xml:space="preserve"> (không trả bì tạp cho NCC)
Tổng số lượng bì tạp sẽ được </t>
    </r>
    <r>
      <rPr>
        <b/>
        <sz val="11"/>
        <color rgb="FF0000FF"/>
        <rFont val="Aptos Narrow"/>
        <family val="2"/>
        <scheme val="minor"/>
      </rPr>
      <t>hỗ trợ tối đa 1%</t>
    </r>
    <r>
      <rPr>
        <sz val="11"/>
        <color theme="1"/>
        <rFont val="Aptos Narrow"/>
        <family val="2"/>
        <charset val="163"/>
        <scheme val="minor"/>
      </rPr>
      <t xml:space="preserve">
(Đối với chai B0 tròn: trừ bì tạp theo thực tế, trả lại bì tạp cho NCC)</t>
    </r>
  </si>
  <si>
    <t>PL05: Thỏa thuận hợp tác
Chi trả một phần lương mỗi tháng cho nhân viên hành chính (quản lý, kế toán, admin,…) phía NCC để yêu cầu báo cáo và cung cấp dữ liệu tuyến dưới theo yêu cầu</t>
  </si>
  <si>
    <t>Khoản hỗ trợ áp dụng theo hình thức khoán trọn gói. không căn cứ trên số lượng nhân sự thực tế
Thời gian áp dụng: T01.2026-T06.2026</t>
  </si>
  <si>
    <t>PL04: Vận chuyển hàng hóa
+ NCC tự vận chuyển: Áp dụng theo chính sách định mức hỗ trợ vận chuyển, số hiệu PU-CS-52
+ Trạm/DTR tự lấy hàng: Không chi trả khoản hỗ trợ này</t>
  </si>
  <si>
    <t>PL02: Thỏa thuận nhập hàng
+ % bì tạp &lt; 1%: Không trừ bì tạp
+ % bì tạp &gt; 1%: Trừ 1% bì tạp</t>
  </si>
  <si>
    <t>PL03: Thưởng sản lượng
(có quy định sản lượng cam kết giao từng tháng)</t>
  </si>
  <si>
    <t>PL03: Thưởng sản lượng
(có quy định sản lượng cam kết giao từng quý)</t>
  </si>
  <si>
    <t>PL03: Thưởng sản lượng
(có quy định sản lượng cam kết giao từng năm)</t>
  </si>
  <si>
    <t>Chính sách nội bộ của DTR</t>
  </si>
  <si>
    <t>Áp dụng cho đối tượng theo danh sách được cấp thẩm quyền phê duyệt
Mức hỗ trợ tối đa: 20.000.000 (tùy NCC)
Thời gian hỗ trợ: 6 tháng</t>
  </si>
  <si>
    <t>PL05: Thỏa thuận hợp tác</t>
  </si>
  <si>
    <t>Hỏi lại có phát sinh NCC nào được thưởng chưa</t>
  </si>
  <si>
    <r>
      <t xml:space="preserve">BẢNG TÍNH GIÁ TRỊ THƯỞNG ĐỒNG HÀNH BA TRẠM
</t>
    </r>
    <r>
      <rPr>
        <b/>
        <sz val="18"/>
        <color rgb="FF0000FF"/>
        <rFont val="Times New Roman"/>
        <family val="1"/>
      </rPr>
      <t>THÁNG 01</t>
    </r>
    <r>
      <rPr>
        <b/>
        <sz val="18"/>
        <color theme="1"/>
        <rFont val="Times New Roman"/>
        <family val="1"/>
      </rPr>
      <t xml:space="preserve"> NĂM 2026</t>
    </r>
  </si>
  <si>
    <t>Thương Viên (Pleiku)</t>
  </si>
  <si>
    <t>Tên NCC</t>
  </si>
  <si>
    <t>1. CS Hỗ trợ vận chuyển</t>
  </si>
  <si>
    <t>THEO DÕI THƯỞNG NCC ĐỒNG HÀNH 3 TRẠM - ver 1</t>
  </si>
  <si>
    <t>THEO DÕI THƯỞNG NCC ĐỒNG HÀNH 3 TRẠM - ver 2</t>
  </si>
  <si>
    <t>2.1. Thưởng NCC - ver1</t>
  </si>
  <si>
    <t>2.2. Thưởng NCC - ver2</t>
  </si>
  <si>
    <t>3. DS NCC đồng hành</t>
  </si>
  <si>
    <t>PHÂN LOẠI</t>
  </si>
  <si>
    <t>NCU phổ thông</t>
  </si>
  <si>
    <t>NCU đồng hành</t>
  </si>
  <si>
    <t>Có note nếu trạm tự vận chuyển thì không tính đơn giá hỗ trợ</t>
  </si>
  <si>
    <t>Chỉ tiêu quý</t>
  </si>
  <si>
    <t>I</t>
  </si>
  <si>
    <t>Thực tế quý</t>
  </si>
  <si>
    <t>Công ty Phước Lộc Tân</t>
  </si>
  <si>
    <t>Từ T2.26 chuyển sang công ty Phước Lộc Tân</t>
  </si>
  <si>
    <t>Thành tiền</t>
  </si>
  <si>
    <t>II</t>
  </si>
  <si>
    <t>III</t>
  </si>
  <si>
    <t>IV</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</si>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</sst>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_-* #,##0_-;\-* #,##0_-;_-* &quot;-&quot;??_-;_-@_-"/>
    <numFmt numFmtId="166" formatCode="_-* #,##0.0_-;\-* #,##0.0_-;_-* &quot;-&quot;??_-;_-@_-"/>
    <numFmt numFmtId="167" formatCode="_-* #,##0.000_-;\-* #,##0.000_-;_-* &quot;-&quot;??_-;_-@_-"/>
    <numFmt numFmtId="168" formatCode="_-* #,##0.0000_-;\-* #,##0.0000_-;_-* &quot;-&quot;??_-;_-@_-"/>
  </numFmts>
  <fonts count="43" x14ac:knownFonts="1">
    <font>
      <sz val="11"/>
      <color theme="1"/>
      <name val="Aptos Narrow"/>
      <family val="2"/>
      <charset val="163"/>
      <scheme val="minor"/>
    </font>
    <font>
      <sz val="11"/>
      <color theme="1"/>
      <name val="Aptos Narrow"/>
      <family val="2"/>
      <scheme val="minor"/>
    </font>
    <font>
      <sz val="11"/>
      <color theme="1"/>
      <name val="Aptos Narrow"/>
      <family val="2"/>
      <charset val="163"/>
      <scheme val="minor"/>
    </font>
    <font>
      <b/>
      <sz val="11"/>
      <color theme="1"/>
      <name val="Aptos Narrow"/>
      <family val="2"/>
      <scheme val="minor"/>
    </font>
    <font>
      <b/>
      <sz val="14"/>
      <color rgb="FF0000FF"/>
      <name val="Aptos Narrow"/>
      <family val="2"/>
      <scheme val="minor"/>
    </font>
    <font>
      <sz val="11"/>
      <color theme="1"/>
      <name val="Aptos Narrow"/>
      <family val="2"/>
      <scheme val="minor"/>
    </font>
    <font>
      <b/>
      <sz val="16"/>
      <color rgb="FF0000FF"/>
      <name val="Aptos Narrow"/>
      <family val="2"/>
      <scheme val="minor"/>
    </font>
    <font>
      <b/>
      <sz val="16"/>
      <color rgb="FFFF0000"/>
      <name val="Aptos Narrow"/>
      <family val="2"/>
      <scheme val="minor"/>
    </font>
    <font>
      <b/>
      <sz val="11"/>
      <color theme="0"/>
      <name val="Aptos Narrow"/>
      <family val="2"/>
      <scheme val="minor"/>
    </font>
    <font>
      <b/>
      <i/>
      <u/>
      <sz val="11"/>
      <color rgb="FFFF0000"/>
      <name val="Aptos Narrow"/>
      <family val="2"/>
      <scheme val="minor"/>
    </font>
    <font>
      <b/>
      <sz val="11"/>
      <color theme="5" tint="-0.249977111117893"/>
      <name val="Aptos Narrow"/>
      <family val="2"/>
      <scheme val="minor"/>
    </font>
    <font>
      <u/>
      <sz val="11"/>
      <color theme="10"/>
      <name val="Aptos Narrow"/>
      <family val="2"/>
      <charset val="163"/>
      <scheme val="minor"/>
    </font>
    <font>
      <i/>
      <u/>
      <sz val="11"/>
      <color theme="10"/>
      <name val="Aptos Narrow"/>
      <family val="2"/>
      <scheme val="minor"/>
    </font>
    <font>
      <b/>
      <sz val="11"/>
      <color rgb="FFFF0000"/>
      <name val="Aptos Narrow"/>
      <family val="2"/>
      <scheme val="minor"/>
    </font>
    <font>
      <sz val="11"/>
      <color rgb="FF00B050"/>
      <name val="Aptos Narrow"/>
      <family val="2"/>
      <scheme val="minor"/>
    </font>
    <font>
      <b/>
      <sz val="16"/>
      <color rgb="FF00B050"/>
      <name val="Aptos Narrow"/>
      <family val="2"/>
      <scheme val="minor"/>
    </font>
    <font>
      <sz val="11"/>
      <color theme="8"/>
      <name val="Aptos Narrow"/>
      <family val="2"/>
      <scheme val="minor"/>
    </font>
    <font>
      <sz val="11"/>
      <color theme="5" tint="-0.249977111117893"/>
      <name val="Aptos Narrow"/>
      <family val="2"/>
      <scheme val="minor"/>
    </font>
    <font>
      <sz val="11"/>
      <color rgb="FF00B0F0"/>
      <name val="Aptos Narrow"/>
      <family val="2"/>
      <scheme val="minor"/>
    </font>
    <font>
      <sz val="12"/>
      <color theme="1"/>
      <name val="Times New Roman"/>
      <family val="2"/>
      <charset val="163"/>
    </font>
    <font>
      <b/>
      <sz val="18"/>
      <color theme="1"/>
      <name val="Times New Roman"/>
      <family val="1"/>
    </font>
    <font>
      <b/>
      <sz val="18"/>
      <color rgb="FF0000FF"/>
      <name val="Times New Roman"/>
      <family val="1"/>
    </font>
    <font>
      <b/>
      <sz val="12"/>
      <color theme="1"/>
      <name val="Times New Roman"/>
      <family val="1"/>
    </font>
    <font>
      <i/>
      <sz val="8"/>
      <color theme="1"/>
      <name val="Times New Roman"/>
      <family val="1"/>
    </font>
    <font>
      <b/>
      <sz val="12"/>
      <name val="Times New Roman"/>
      <family val="1"/>
    </font>
    <font>
      <b/>
      <sz val="12"/>
      <color theme="6"/>
      <name val="Times New Roman"/>
      <family val="1"/>
    </font>
    <font>
      <b/>
      <sz val="12"/>
      <color rgb="FF0000FF"/>
      <name val="Times New Roman"/>
      <family val="1"/>
    </font>
    <font>
      <b/>
      <sz val="12"/>
      <color rgb="FFC00000"/>
      <name val="Times New Roman"/>
      <family val="1"/>
    </font>
    <font>
      <sz val="12"/>
      <name val="Times New Roman"/>
      <family val="1"/>
    </font>
    <font>
      <sz val="12"/>
      <color theme="6"/>
      <name val="Times New Roman"/>
      <family val="2"/>
      <charset val="163"/>
    </font>
    <font>
      <sz val="12"/>
      <color rgb="FF0000FF"/>
      <name val="Times New Roman"/>
      <family val="1"/>
    </font>
    <font>
      <sz val="12"/>
      <color rgb="FFC00000"/>
      <name val="Times New Roman"/>
      <family val="1"/>
    </font>
    <font>
      <b/>
      <sz val="14"/>
      <color theme="1"/>
      <name val="Times New Roman"/>
      <family val="1"/>
    </font>
    <font>
      <sz val="12"/>
      <color theme="1"/>
      <name val="Times New Roman"/>
      <family val="1"/>
    </font>
    <font>
      <sz val="14"/>
      <color theme="1"/>
      <name val="Times New Roman"/>
      <family val="1"/>
    </font>
    <font>
      <b/>
      <sz val="14"/>
      <color rgb="FFC00000"/>
      <name val="Times New Roman"/>
      <family val="1"/>
    </font>
    <font>
      <i/>
      <sz val="12"/>
      <color theme="1"/>
      <name val="Times New Roman"/>
      <family val="1"/>
    </font>
    <font>
      <b/>
      <sz val="11"/>
      <color theme="0"/>
      <name val="Aptos Narrow"/>
      <family val="2"/>
      <charset val="163"/>
      <scheme val="minor"/>
    </font>
    <font>
      <b/>
      <sz val="11"/>
      <color theme="3" tint="0.249977111117893"/>
      <name val="Aptos Narrow"/>
      <family val="2"/>
      <scheme val="minor"/>
    </font>
    <font>
      <sz val="11"/>
      <color theme="3" tint="0.249977111117893"/>
      <name val="Aptos Narrow"/>
      <family val="2"/>
      <scheme val="minor"/>
    </font>
    <font>
      <b/>
      <sz val="11"/>
      <color rgb="FF0000FF"/>
      <name val="Aptos Narrow"/>
      <family val="2"/>
      <scheme val="minor"/>
    </font>
    <font>
      <sz val="9"/>
      <color indexed="81"/>
      <name val="Tahoma"/>
      <family val="2"/>
    </font>
    <font>
      <b/>
      <sz val="9"/>
      <color indexed="81"/>
      <name val="Tahoma"/>
      <family val="2"/>
    </font>
  </fonts>
  <fills count="14">
    <fill>
      <patternFill patternType="none"/>
    </fill>
    <fill>
      <patternFill patternType="gray125"/>
    </fill>
    <fill>
      <patternFill patternType="solid">
        <fgColor rgb="FF00B050"/>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rgb="FF00B0F0"/>
        <bgColor indexed="64"/>
      </patternFill>
    </fill>
    <fill>
      <patternFill patternType="solid">
        <fgColor theme="4"/>
        <bgColor indexed="64"/>
      </patternFill>
    </fill>
    <fill>
      <patternFill patternType="solid">
        <fgColor theme="0" tint="-0.14999847407452621"/>
        <bgColor indexed="64"/>
      </patternFill>
    </fill>
    <fill>
      <patternFill patternType="solid">
        <fgColor rgb="FFFFFFCC"/>
        <bgColor indexed="64"/>
      </patternFill>
    </fill>
    <fill>
      <patternFill patternType="solid">
        <fgColor theme="8" tint="0.39997558519241921"/>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0"/>
        <bgColor indexed="64"/>
      </patternFill>
    </fill>
    <fill>
      <patternFill patternType="solid">
        <fgColor theme="6" tint="0.79998168889431442"/>
        <bgColor indexed="64"/>
      </patternFill>
    </fill>
  </fills>
  <borders count="8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hair">
        <color theme="0" tint="-0.24994659260841701"/>
      </bottom>
      <diagonal/>
    </border>
    <border>
      <left style="thin">
        <color auto="1"/>
      </left>
      <right style="thin">
        <color auto="1"/>
      </right>
      <top style="hair">
        <color theme="0" tint="-0.24994659260841701"/>
      </top>
      <bottom style="hair">
        <color theme="0" tint="-0.24994659260841701"/>
      </bottom>
      <diagonal/>
    </border>
    <border>
      <left style="thin">
        <color auto="1"/>
      </left>
      <right style="thin">
        <color auto="1"/>
      </right>
      <top style="hair">
        <color theme="0" tint="-0.24994659260841701"/>
      </top>
      <bottom style="thin">
        <color auto="1"/>
      </bottom>
      <diagonal/>
    </border>
    <border>
      <left style="thin">
        <color auto="1"/>
      </left>
      <right style="thin">
        <color auto="1"/>
      </right>
      <top/>
      <bottom style="hair">
        <color theme="0" tint="-0.24994659260841701"/>
      </bottom>
      <diagonal/>
    </border>
    <border>
      <left style="thin">
        <color auto="1"/>
      </left>
      <right/>
      <top/>
      <bottom style="hair">
        <color theme="0" tint="-0.24994659260841701"/>
      </bottom>
      <diagonal/>
    </border>
    <border>
      <left style="thin">
        <color auto="1"/>
      </left>
      <right/>
      <top style="hair">
        <color theme="0" tint="-0.24994659260841701"/>
      </top>
      <bottom style="hair">
        <color theme="0" tint="-0.24994659260841701"/>
      </bottom>
      <diagonal/>
    </border>
    <border>
      <left/>
      <right style="thin">
        <color auto="1"/>
      </right>
      <top/>
      <bottom style="hair">
        <color theme="0" tint="-0.24994659260841701"/>
      </bottom>
      <diagonal/>
    </border>
    <border>
      <left/>
      <right style="thin">
        <color auto="1"/>
      </right>
      <top style="hair">
        <color theme="0" tint="-0.24994659260841701"/>
      </top>
      <bottom style="hair">
        <color theme="0" tint="-0.24994659260841701"/>
      </bottom>
      <diagonal/>
    </border>
    <border>
      <left style="medium">
        <color auto="1"/>
      </left>
      <right style="thin">
        <color auto="1"/>
      </right>
      <top style="medium">
        <color auto="1"/>
      </top>
      <bottom style="hair">
        <color theme="0" tint="-0.24994659260841701"/>
      </bottom>
      <diagonal/>
    </border>
    <border>
      <left style="thin">
        <color auto="1"/>
      </left>
      <right style="thin">
        <color auto="1"/>
      </right>
      <top style="medium">
        <color auto="1"/>
      </top>
      <bottom style="hair">
        <color theme="0" tint="-0.24994659260841701"/>
      </bottom>
      <diagonal/>
    </border>
    <border>
      <left style="medium">
        <color auto="1"/>
      </left>
      <right style="thin">
        <color auto="1"/>
      </right>
      <top/>
      <bottom style="hair">
        <color theme="0" tint="-0.24994659260841701"/>
      </bottom>
      <diagonal/>
    </border>
    <border>
      <left style="thin">
        <color auto="1"/>
      </left>
      <right style="medium">
        <color auto="1"/>
      </right>
      <top/>
      <bottom style="hair">
        <color theme="0" tint="-0.24994659260841701"/>
      </bottom>
      <diagonal/>
    </border>
    <border>
      <left style="medium">
        <color auto="1"/>
      </left>
      <right style="thin">
        <color auto="1"/>
      </right>
      <top style="hair">
        <color theme="0" tint="-0.24994659260841701"/>
      </top>
      <bottom style="hair">
        <color theme="0" tint="-0.24994659260841701"/>
      </bottom>
      <diagonal/>
    </border>
    <border>
      <left style="thin">
        <color auto="1"/>
      </left>
      <right style="medium">
        <color auto="1"/>
      </right>
      <top style="hair">
        <color theme="0" tint="-0.24994659260841701"/>
      </top>
      <bottom style="hair">
        <color theme="0" tint="-0.24994659260841701"/>
      </bottom>
      <diagonal/>
    </border>
    <border>
      <left style="medium">
        <color auto="1"/>
      </left>
      <right style="thin">
        <color auto="1"/>
      </right>
      <top style="hair">
        <color theme="0" tint="-0.24994659260841701"/>
      </top>
      <bottom style="medium">
        <color auto="1"/>
      </bottom>
      <diagonal/>
    </border>
    <border>
      <left style="thin">
        <color auto="1"/>
      </left>
      <right style="thin">
        <color auto="1"/>
      </right>
      <top style="hair">
        <color theme="0" tint="-0.24994659260841701"/>
      </top>
      <bottom style="medium">
        <color auto="1"/>
      </bottom>
      <diagonal/>
    </border>
    <border>
      <left style="thin">
        <color auto="1"/>
      </left>
      <right style="medium">
        <color auto="1"/>
      </right>
      <top style="hair">
        <color theme="0" tint="-0.24994659260841701"/>
      </top>
      <bottom style="medium">
        <color auto="1"/>
      </bottom>
      <diagonal/>
    </border>
    <border>
      <left style="medium">
        <color auto="1"/>
      </left>
      <right/>
      <top style="medium">
        <color auto="1"/>
      </top>
      <bottom style="hair">
        <color theme="0" tint="-0.24994659260841701"/>
      </bottom>
      <diagonal/>
    </border>
    <border>
      <left style="thin">
        <color auto="1"/>
      </left>
      <right/>
      <top style="medium">
        <color auto="1"/>
      </top>
      <bottom style="hair">
        <color theme="0" tint="-0.24994659260841701"/>
      </bottom>
      <diagonal/>
    </border>
    <border>
      <left/>
      <right style="medium">
        <color auto="1"/>
      </right>
      <top style="medium">
        <color auto="1"/>
      </top>
      <bottom style="hair">
        <color theme="0" tint="-0.24994659260841701"/>
      </bottom>
      <diagonal/>
    </border>
    <border>
      <left style="medium">
        <color auto="1"/>
      </left>
      <right style="thin">
        <color auto="1"/>
      </right>
      <top style="hair">
        <color theme="0" tint="-0.24994659260841701"/>
      </top>
      <bottom/>
      <diagonal/>
    </border>
    <border>
      <left style="thin">
        <color auto="1"/>
      </left>
      <right style="thin">
        <color auto="1"/>
      </right>
      <top style="hair">
        <color theme="0" tint="-0.24994659260841701"/>
      </top>
      <bottom/>
      <diagonal/>
    </border>
    <border>
      <left style="thin">
        <color auto="1"/>
      </left>
      <right style="medium">
        <color auto="1"/>
      </right>
      <top style="hair">
        <color theme="0" tint="-0.24994659260841701"/>
      </top>
      <bottom/>
      <diagonal/>
    </border>
    <border>
      <left style="medium">
        <color auto="1"/>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style="medium">
        <color auto="1"/>
      </right>
      <top style="double">
        <color auto="1"/>
      </top>
      <bottom style="medium">
        <color auto="1"/>
      </bottom>
      <diagonal/>
    </border>
    <border>
      <left style="medium">
        <color auto="1"/>
      </left>
      <right/>
      <top style="double">
        <color auto="1"/>
      </top>
      <bottom style="medium">
        <color auto="1"/>
      </bottom>
      <diagonal/>
    </border>
    <border>
      <left/>
      <right/>
      <top style="double">
        <color auto="1"/>
      </top>
      <bottom style="medium">
        <color auto="1"/>
      </bottom>
      <diagonal/>
    </border>
    <border>
      <left/>
      <right style="medium">
        <color auto="1"/>
      </right>
      <top style="double">
        <color auto="1"/>
      </top>
      <bottom style="medium">
        <color auto="1"/>
      </bottom>
      <diagonal/>
    </border>
    <border>
      <left/>
      <right/>
      <top style="medium">
        <color auto="1"/>
      </top>
      <bottom style="hair">
        <color theme="0" tint="-0.24994659260841701"/>
      </bottom>
      <diagonal/>
    </border>
    <border>
      <left style="thin">
        <color auto="1"/>
      </left>
      <right/>
      <top style="hair">
        <color theme="0" tint="-0.24994659260841701"/>
      </top>
      <bottom/>
      <diagonal/>
    </border>
    <border>
      <left/>
      <right style="thin">
        <color auto="1"/>
      </right>
      <top style="hair">
        <color theme="0" tint="-0.24994659260841701"/>
      </top>
      <bottom style="medium">
        <color auto="1"/>
      </bottom>
      <diagonal/>
    </border>
    <border>
      <left/>
      <right style="thin">
        <color auto="1"/>
      </right>
      <top style="hair">
        <color theme="0" tint="-0.24994659260841701"/>
      </top>
      <bottom/>
      <diagonal/>
    </border>
    <border>
      <left/>
      <right style="thin">
        <color auto="1"/>
      </right>
      <top style="double">
        <color auto="1"/>
      </top>
      <bottom style="medium">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auto="1"/>
      </left>
      <right style="thin">
        <color auto="1"/>
      </right>
      <top/>
      <bottom/>
      <diagonal/>
    </border>
    <border>
      <left style="thin">
        <color theme="9"/>
      </left>
      <right/>
      <top style="thin">
        <color theme="9"/>
      </top>
      <bottom/>
      <diagonal/>
    </border>
    <border>
      <left style="thin">
        <color theme="9"/>
      </left>
      <right/>
      <top/>
      <bottom/>
      <diagonal/>
    </border>
    <border>
      <left style="thin">
        <color theme="9"/>
      </left>
      <right/>
      <top style="medium">
        <color theme="9"/>
      </top>
      <bottom/>
      <diagonal/>
    </border>
    <border>
      <left/>
      <right/>
      <top style="medium">
        <color theme="9"/>
      </top>
      <bottom/>
      <diagonal/>
    </border>
    <border>
      <left style="thin">
        <color auto="1"/>
      </left>
      <right style="thin">
        <color auto="1"/>
      </right>
      <top style="medium">
        <color auto="1"/>
      </top>
      <bottom/>
      <diagonal/>
    </border>
    <border>
      <left style="thin">
        <color auto="1"/>
      </left>
      <right style="thin">
        <color auto="1"/>
      </right>
      <top/>
      <bottom style="medium">
        <color auto="1"/>
      </bottom>
      <diagonal/>
    </border>
    <border>
      <left/>
      <right/>
      <top style="hair">
        <color theme="0" tint="-0.24994659260841701"/>
      </top>
      <bottom style="hair">
        <color theme="0" tint="-0.24994659260841701"/>
      </bottom>
      <diagonal/>
    </border>
    <border>
      <left/>
      <right style="medium">
        <color auto="1"/>
      </right>
      <top style="hair">
        <color theme="0" tint="-0.24994659260841701"/>
      </top>
      <bottom style="hair">
        <color theme="0" tint="-0.2499465926084170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top style="hair">
        <color theme="0" tint="-0.24994659260841701"/>
      </top>
      <bottom style="double">
        <color auto="1"/>
      </bottom>
      <diagonal/>
    </border>
    <border>
      <left style="medium">
        <color auto="1"/>
      </left>
      <right/>
      <top style="hair">
        <color theme="0" tint="-0.24994659260841701"/>
      </top>
      <bottom style="hair">
        <color theme="0" tint="-0.24994659260841701"/>
      </bottom>
      <diagonal/>
    </border>
    <border>
      <left style="medium">
        <color auto="1"/>
      </left>
      <right/>
      <top style="hair">
        <color theme="0" tint="-0.24994659260841701"/>
      </top>
      <bottom style="double">
        <color auto="1"/>
      </bottom>
      <diagonal/>
    </border>
    <border>
      <left style="thin">
        <color auto="1"/>
      </left>
      <right/>
      <top style="hair">
        <color theme="0" tint="-0.24994659260841701"/>
      </top>
      <bottom style="medium">
        <color auto="1"/>
      </bottom>
      <diagonal/>
    </border>
    <border>
      <left style="thin">
        <color auto="1"/>
      </left>
      <right/>
      <top style="double">
        <color auto="1"/>
      </top>
      <bottom style="medium">
        <color auto="1"/>
      </bottom>
      <diagonal/>
    </border>
    <border>
      <left/>
      <right style="medium">
        <color auto="1"/>
      </right>
      <top style="hair">
        <color theme="0" tint="-0.24994659260841701"/>
      </top>
      <bottom style="medium">
        <color auto="1"/>
      </bottom>
      <diagonal/>
    </border>
    <border>
      <left/>
      <right style="medium">
        <color auto="1"/>
      </right>
      <top/>
      <bottom style="hair">
        <color theme="0" tint="-0.24994659260841701"/>
      </bottom>
      <diagonal/>
    </border>
    <border>
      <left/>
      <right style="medium">
        <color auto="1"/>
      </right>
      <top style="hair">
        <color theme="0" tint="-0.24994659260841701"/>
      </top>
      <bottom/>
      <diagonal/>
    </border>
    <border>
      <left style="medium">
        <color auto="1"/>
      </left>
      <right style="thin">
        <color indexed="64"/>
      </right>
      <top/>
      <bottom/>
      <diagonal/>
    </border>
    <border>
      <left style="thin">
        <color auto="1"/>
      </left>
      <right style="medium">
        <color auto="1"/>
      </right>
      <top/>
      <bottom/>
      <diagonal/>
    </border>
    <border>
      <left style="medium">
        <color auto="1"/>
      </left>
      <right style="medium">
        <color auto="1"/>
      </right>
      <top style="medium">
        <color auto="1"/>
      </top>
      <bottom style="hair">
        <color theme="0" tint="-0.24994659260841701"/>
      </bottom>
      <diagonal/>
    </border>
    <border>
      <left style="medium">
        <color auto="1"/>
      </left>
      <right style="medium">
        <color auto="1"/>
      </right>
      <top style="hair">
        <color theme="0" tint="-0.24994659260841701"/>
      </top>
      <bottom style="medium">
        <color auto="1"/>
      </bottom>
      <diagonal/>
    </border>
    <border>
      <left style="medium">
        <color auto="1"/>
      </left>
      <right style="medium">
        <color auto="1"/>
      </right>
      <top/>
      <bottom style="hair">
        <color theme="0" tint="-0.24994659260841701"/>
      </bottom>
      <diagonal/>
    </border>
    <border>
      <left style="medium">
        <color auto="1"/>
      </left>
      <right style="medium">
        <color auto="1"/>
      </right>
      <top style="hair">
        <color theme="0" tint="-0.24994659260841701"/>
      </top>
      <bottom style="hair">
        <color theme="0" tint="-0.24994659260841701"/>
      </bottom>
      <diagonal/>
    </border>
    <border>
      <left style="medium">
        <color auto="1"/>
      </left>
      <right style="medium">
        <color auto="1"/>
      </right>
      <top style="hair">
        <color theme="0" tint="-0.24994659260841701"/>
      </top>
      <bottom/>
      <diagonal/>
    </border>
    <border>
      <left style="medium">
        <color auto="1"/>
      </left>
      <right style="medium">
        <color auto="1"/>
      </right>
      <top style="double">
        <color auto="1"/>
      </top>
      <bottom style="medium">
        <color auto="1"/>
      </bottom>
      <diagonal/>
    </border>
    <border>
      <left style="medium">
        <color auto="1"/>
      </left>
      <right/>
      <top style="hair">
        <color theme="0" tint="-0.24994659260841701"/>
      </top>
      <bottom style="medium">
        <color auto="1"/>
      </bottom>
      <diagonal/>
    </border>
    <border>
      <left style="medium">
        <color auto="1"/>
      </left>
      <right/>
      <top/>
      <bottom style="hair">
        <color theme="0" tint="-0.24994659260841701"/>
      </bottom>
      <diagonal/>
    </border>
    <border>
      <left style="medium">
        <color auto="1"/>
      </left>
      <right/>
      <top style="hair">
        <color theme="0" tint="-0.24994659260841701"/>
      </top>
      <bottom/>
      <diagonal/>
    </border>
    <border>
      <left style="medium">
        <color theme="1"/>
      </left>
      <right style="thin">
        <color auto="1"/>
      </right>
      <top style="hair">
        <color theme="0" tint="-0.24994659260841701"/>
      </top>
      <bottom style="hair">
        <color theme="0" tint="-0.24994659260841701"/>
      </bottom>
      <diagonal/>
    </border>
  </borders>
  <cellStyleXfs count="7">
    <xf numFmtId="0" fontId="0" fillId="0" borderId="0"/>
    <xf numFmtId="164" fontId="2" fillId="0" borderId="0" applyFont="0" applyFill="0" applyBorder="0" applyAlignment="0" applyProtection="0"/>
    <xf numFmtId="9" fontId="2" fillId="0" borderId="0" applyFont="0" applyFill="0" applyBorder="0" applyAlignment="0" applyProtection="0"/>
    <xf numFmtId="0" fontId="11" fillId="0" borderId="0" applyNumberFormat="0" applyFill="0" applyBorder="0" applyAlignment="0" applyProtection="0"/>
    <xf numFmtId="0" fontId="19" fillId="0" borderId="0"/>
    <xf numFmtId="9" fontId="19" fillId="0" borderId="0" applyFont="0" applyFill="0" applyBorder="0" applyAlignment="0" applyProtection="0"/>
    <xf numFmtId="164" fontId="19" fillId="0" borderId="0" applyFont="0" applyFill="0" applyBorder="0" applyAlignment="0" applyProtection="0"/>
  </cellStyleXfs>
  <cellXfs count="350">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0" fillId="0" borderId="4" xfId="0" applyBorder="1" applyAlignment="1">
      <alignment vertical="center" wrapText="1"/>
    </xf>
    <xf numFmtId="0" fontId="0" fillId="0" borderId="4" xfId="0" applyBorder="1" applyAlignment="1">
      <alignment horizontal="center" vertical="center"/>
    </xf>
    <xf numFmtId="0" fontId="3" fillId="0" borderId="4" xfId="0" applyFont="1" applyBorder="1" applyAlignment="1">
      <alignment vertical="center"/>
    </xf>
    <xf numFmtId="0" fontId="0" fillId="0" borderId="5" xfId="0" applyBorder="1" applyAlignment="1">
      <alignment horizontal="left" vertical="center" wrapText="1" indent="4"/>
    </xf>
    <xf numFmtId="0" fontId="0" fillId="0" borderId="5" xfId="0" applyBorder="1" applyAlignment="1">
      <alignment horizontal="center" vertical="center"/>
    </xf>
    <xf numFmtId="0" fontId="0" fillId="0" borderId="5" xfId="0" applyBorder="1" applyAlignment="1">
      <alignment vertical="center" wrapText="1"/>
    </xf>
    <xf numFmtId="165" fontId="5" fillId="0" borderId="5" xfId="1" applyNumberFormat="1" applyFont="1" applyBorder="1" applyAlignment="1">
      <alignment vertical="center"/>
    </xf>
    <xf numFmtId="0" fontId="0" fillId="0" borderId="5" xfId="0" applyBorder="1" applyAlignment="1">
      <alignment vertical="center"/>
    </xf>
    <xf numFmtId="9" fontId="0" fillId="0" borderId="5" xfId="0" applyNumberFormat="1" applyBorder="1" applyAlignment="1">
      <alignment vertical="center"/>
    </xf>
    <xf numFmtId="0" fontId="0" fillId="0" borderId="5" xfId="0" quotePrefix="1" applyBorder="1" applyAlignment="1">
      <alignment vertical="center" wrapText="1"/>
    </xf>
    <xf numFmtId="0" fontId="0" fillId="0" borderId="5" xfId="0" applyBorder="1" applyAlignment="1">
      <alignment horizontal="center" vertical="center" wrapText="1"/>
    </xf>
    <xf numFmtId="165" fontId="0" fillId="0" borderId="5" xfId="1" applyNumberFormat="1" applyFont="1" applyBorder="1" applyAlignment="1">
      <alignment vertical="center"/>
    </xf>
    <xf numFmtId="0" fontId="0" fillId="0" borderId="6" xfId="0" applyBorder="1" applyAlignment="1">
      <alignment vertical="center" wrapText="1"/>
    </xf>
    <xf numFmtId="0" fontId="0" fillId="0" borderId="6" xfId="0" applyBorder="1" applyAlignment="1">
      <alignment horizontal="center" vertical="center"/>
    </xf>
    <xf numFmtId="165" fontId="0" fillId="0" borderId="6" xfId="1" applyNumberFormat="1" applyFont="1" applyBorder="1" applyAlignment="1">
      <alignment vertical="center"/>
    </xf>
    <xf numFmtId="0" fontId="6" fillId="0" borderId="0" xfId="0" quotePrefix="1" applyFont="1" applyAlignment="1">
      <alignment vertical="center"/>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8"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5" fillId="0" borderId="0" xfId="0" quotePrefix="1" applyFont="1" applyAlignment="1">
      <alignment vertical="center"/>
    </xf>
    <xf numFmtId="0" fontId="9" fillId="0" borderId="0" xfId="0" applyFont="1" applyAlignment="1">
      <alignment vertical="center"/>
    </xf>
    <xf numFmtId="0" fontId="8" fillId="2" borderId="1" xfId="0" applyFont="1" applyFill="1" applyBorder="1" applyAlignment="1">
      <alignment horizontal="center" vertical="center" wrapText="1"/>
    </xf>
    <xf numFmtId="9" fontId="0" fillId="0" borderId="0" xfId="2" applyFont="1" applyAlignment="1">
      <alignment horizontal="center" vertical="center"/>
    </xf>
    <xf numFmtId="9" fontId="0" fillId="0" borderId="7" xfId="2" applyFont="1" applyBorder="1" applyAlignment="1">
      <alignment horizontal="center" vertical="center"/>
    </xf>
    <xf numFmtId="9" fontId="0" fillId="0" borderId="5" xfId="2" applyFont="1" applyBorder="1" applyAlignment="1">
      <alignment horizontal="center" vertical="center"/>
    </xf>
    <xf numFmtId="9" fontId="0" fillId="0" borderId="6" xfId="2" applyFont="1" applyBorder="1" applyAlignment="1">
      <alignment horizontal="center" vertical="center"/>
    </xf>
    <xf numFmtId="0" fontId="0" fillId="0" borderId="0" xfId="0" quotePrefix="1" applyAlignment="1">
      <alignment horizontal="center" vertical="center"/>
    </xf>
    <xf numFmtId="0" fontId="0" fillId="0" borderId="7" xfId="0" applyBorder="1" applyAlignment="1">
      <alignment horizontal="center" vertical="center"/>
    </xf>
    <xf numFmtId="0" fontId="10" fillId="0" borderId="4" xfId="0" applyFont="1" applyBorder="1" applyAlignment="1">
      <alignment vertical="center" wrapText="1"/>
    </xf>
    <xf numFmtId="0" fontId="10" fillId="0" borderId="5" xfId="0" applyFont="1" applyBorder="1" applyAlignment="1">
      <alignment vertical="center"/>
    </xf>
    <xf numFmtId="0" fontId="10" fillId="0" borderId="5" xfId="0" applyFont="1" applyBorder="1" applyAlignment="1">
      <alignment vertical="center" wrapText="1"/>
    </xf>
    <xf numFmtId="0" fontId="10" fillId="0" borderId="6" xfId="0" applyFont="1" applyBorder="1" applyAlignment="1">
      <alignment vertical="center" wrapText="1"/>
    </xf>
    <xf numFmtId="0" fontId="11" fillId="0" borderId="0" xfId="3"/>
    <xf numFmtId="0" fontId="12" fillId="0" borderId="0" xfId="3" applyFont="1" applyAlignment="1">
      <alignment horizontal="left" vertical="center"/>
    </xf>
    <xf numFmtId="0" fontId="0" fillId="0" borderId="0" xfId="0" quotePrefix="1" applyAlignment="1">
      <alignment vertical="center" wrapText="1"/>
    </xf>
    <xf numFmtId="165" fontId="0" fillId="0" borderId="0" xfId="1" applyNumberFormat="1" applyFont="1" applyAlignment="1">
      <alignment vertical="center"/>
    </xf>
    <xf numFmtId="165" fontId="0" fillId="7" borderId="18" xfId="1" applyNumberFormat="1" applyFont="1" applyFill="1" applyBorder="1" applyAlignment="1">
      <alignment vertical="center"/>
    </xf>
    <xf numFmtId="165" fontId="0" fillId="7" borderId="19" xfId="1" applyNumberFormat="1" applyFont="1" applyFill="1" applyBorder="1" applyAlignment="1">
      <alignment vertical="center"/>
    </xf>
    <xf numFmtId="165" fontId="0" fillId="7" borderId="20" xfId="1" applyNumberFormat="1" applyFont="1" applyFill="1" applyBorder="1" applyAlignment="1">
      <alignment vertical="center"/>
    </xf>
    <xf numFmtId="0" fontId="0" fillId="0" borderId="14" xfId="0" applyBorder="1" applyAlignment="1">
      <alignment vertical="center"/>
    </xf>
    <xf numFmtId="0" fontId="0" fillId="0" borderId="7" xfId="0" applyBorder="1" applyAlignment="1">
      <alignment vertical="center"/>
    </xf>
    <xf numFmtId="165" fontId="0" fillId="0" borderId="14" xfId="1" applyNumberFormat="1" applyFont="1" applyBorder="1" applyAlignment="1">
      <alignment vertical="center"/>
    </xf>
    <xf numFmtId="165" fontId="0" fillId="0" borderId="7" xfId="1" applyNumberFormat="1" applyFont="1" applyBorder="1" applyAlignment="1">
      <alignment vertical="center"/>
    </xf>
    <xf numFmtId="9" fontId="0" fillId="0" borderId="7" xfId="2" applyFont="1" applyBorder="1" applyAlignment="1">
      <alignment vertical="center"/>
    </xf>
    <xf numFmtId="165" fontId="0" fillId="0" borderId="8" xfId="1" applyNumberFormat="1" applyFont="1" applyBorder="1" applyAlignment="1">
      <alignment vertical="center"/>
    </xf>
    <xf numFmtId="165" fontId="0" fillId="0" borderId="15" xfId="1" applyNumberFormat="1" applyFont="1" applyBorder="1" applyAlignment="1">
      <alignment vertical="center"/>
    </xf>
    <xf numFmtId="165" fontId="0" fillId="0" borderId="10" xfId="1" applyNumberFormat="1" applyFont="1" applyBorder="1" applyAlignment="1">
      <alignment vertical="center"/>
    </xf>
    <xf numFmtId="0" fontId="0" fillId="0" borderId="16" xfId="0" applyBorder="1" applyAlignment="1">
      <alignment vertical="center"/>
    </xf>
    <xf numFmtId="165" fontId="0" fillId="0" borderId="16" xfId="1" applyNumberFormat="1" applyFont="1" applyBorder="1" applyAlignment="1">
      <alignment vertical="center"/>
    </xf>
    <xf numFmtId="165" fontId="0" fillId="0" borderId="9" xfId="1" applyNumberFormat="1" applyFont="1" applyBorder="1" applyAlignment="1">
      <alignment vertical="center"/>
    </xf>
    <xf numFmtId="165" fontId="0" fillId="0" borderId="17" xfId="1" applyNumberFormat="1" applyFont="1" applyBorder="1" applyAlignment="1">
      <alignment vertical="center"/>
    </xf>
    <xf numFmtId="165" fontId="0" fillId="0" borderId="11" xfId="1" applyNumberFormat="1" applyFont="1" applyBorder="1" applyAlignment="1">
      <alignment vertical="center"/>
    </xf>
    <xf numFmtId="0" fontId="0" fillId="0" borderId="24" xfId="0" applyBorder="1" applyAlignment="1">
      <alignment vertical="center"/>
    </xf>
    <xf numFmtId="0" fontId="0" fillId="0" borderId="25" xfId="0" applyBorder="1" applyAlignment="1">
      <alignment vertical="center"/>
    </xf>
    <xf numFmtId="165" fontId="0" fillId="0" borderId="24" xfId="1" applyNumberFormat="1" applyFont="1" applyBorder="1" applyAlignment="1">
      <alignment vertical="center"/>
    </xf>
    <xf numFmtId="165" fontId="0" fillId="0" borderId="25" xfId="1" applyNumberFormat="1" applyFont="1" applyBorder="1" applyAlignment="1">
      <alignment vertical="center"/>
    </xf>
    <xf numFmtId="9" fontId="0" fillId="0" borderId="25" xfId="2" applyFont="1" applyBorder="1" applyAlignment="1">
      <alignment vertical="center"/>
    </xf>
    <xf numFmtId="165" fontId="0" fillId="0" borderId="34" xfId="1" applyNumberFormat="1" applyFont="1" applyBorder="1" applyAlignment="1">
      <alignment vertical="center"/>
    </xf>
    <xf numFmtId="165" fontId="0" fillId="0" borderId="26" xfId="1" applyNumberFormat="1" applyFont="1" applyBorder="1" applyAlignment="1">
      <alignment vertical="center"/>
    </xf>
    <xf numFmtId="165" fontId="0" fillId="0" borderId="36" xfId="1" applyNumberFormat="1" applyFont="1" applyBorder="1" applyAlignment="1">
      <alignment vertical="center"/>
    </xf>
    <xf numFmtId="0" fontId="13" fillId="0" borderId="0" xfId="0" applyFont="1" applyAlignment="1">
      <alignment vertical="center"/>
    </xf>
    <xf numFmtId="165" fontId="0" fillId="7" borderId="35" xfId="1" applyNumberFormat="1" applyFont="1" applyFill="1" applyBorder="1" applyAlignment="1">
      <alignment vertical="center"/>
    </xf>
    <xf numFmtId="9" fontId="0" fillId="0" borderId="10" xfId="2" applyFont="1" applyBorder="1" applyAlignment="1">
      <alignment vertical="center"/>
    </xf>
    <xf numFmtId="9" fontId="0" fillId="0" borderId="36" xfId="2" applyFont="1" applyBorder="1" applyAlignment="1">
      <alignment vertical="center"/>
    </xf>
    <xf numFmtId="0" fontId="14" fillId="0" borderId="0" xfId="0" applyFont="1" applyAlignment="1">
      <alignment vertical="center"/>
    </xf>
    <xf numFmtId="0" fontId="15" fillId="0" borderId="0" xfId="0" quotePrefix="1" applyFont="1" applyAlignment="1">
      <alignment vertical="center"/>
    </xf>
    <xf numFmtId="165" fontId="14" fillId="0" borderId="0" xfId="1" applyNumberFormat="1" applyFont="1" applyAlignment="1">
      <alignment vertical="center"/>
    </xf>
    <xf numFmtId="165" fontId="16" fillId="0" borderId="0" xfId="1" applyNumberFormat="1" applyFont="1" applyAlignment="1">
      <alignment vertical="center"/>
    </xf>
    <xf numFmtId="165" fontId="17" fillId="0" borderId="0" xfId="1" applyNumberFormat="1" applyFont="1" applyAlignment="1">
      <alignment vertical="center"/>
    </xf>
    <xf numFmtId="165" fontId="18" fillId="0" borderId="0" xfId="1" applyNumberFormat="1" applyFont="1" applyAlignment="1">
      <alignment vertical="center"/>
    </xf>
    <xf numFmtId="0" fontId="20" fillId="0" borderId="0" xfId="4" applyFont="1" applyAlignment="1">
      <alignment vertical="center" wrapText="1"/>
    </xf>
    <xf numFmtId="0" fontId="19" fillId="0" borderId="0" xfId="4"/>
    <xf numFmtId="0" fontId="22" fillId="0" borderId="0" xfId="4" applyFont="1"/>
    <xf numFmtId="0" fontId="22" fillId="10" borderId="38" xfId="4" applyFont="1" applyFill="1" applyBorder="1" applyAlignment="1">
      <alignment horizontal="center" vertical="center"/>
    </xf>
    <xf numFmtId="0" fontId="22" fillId="10" borderId="3" xfId="4" applyFont="1" applyFill="1" applyBorder="1" applyAlignment="1">
      <alignment horizontal="center" vertical="center"/>
    </xf>
    <xf numFmtId="0" fontId="22" fillId="10" borderId="3" xfId="4" applyFont="1" applyFill="1" applyBorder="1" applyAlignment="1">
      <alignment horizontal="center" vertical="center" wrapText="1"/>
    </xf>
    <xf numFmtId="0" fontId="22" fillId="10" borderId="39" xfId="4" applyFont="1" applyFill="1" applyBorder="1" applyAlignment="1">
      <alignment horizontal="center" vertical="center"/>
    </xf>
    <xf numFmtId="0" fontId="19" fillId="0" borderId="0" xfId="4" applyAlignment="1">
      <alignment horizontal="center" vertical="center"/>
    </xf>
    <xf numFmtId="0" fontId="23" fillId="0" borderId="40" xfId="4" applyFont="1" applyBorder="1" applyAlignment="1">
      <alignment horizontal="center" vertical="center"/>
    </xf>
    <xf numFmtId="0" fontId="23" fillId="0" borderId="1" xfId="4" applyFont="1" applyBorder="1" applyAlignment="1">
      <alignment horizontal="center" vertical="center"/>
    </xf>
    <xf numFmtId="0" fontId="23" fillId="0" borderId="41" xfId="4" applyFont="1" applyBorder="1" applyAlignment="1">
      <alignment horizontal="center" vertical="center"/>
    </xf>
    <xf numFmtId="0" fontId="23" fillId="0" borderId="0" xfId="4" applyFont="1" applyAlignment="1">
      <alignment horizontal="center" vertical="center"/>
    </xf>
    <xf numFmtId="0" fontId="22" fillId="11" borderId="40" xfId="4" applyFont="1" applyFill="1" applyBorder="1" applyAlignment="1">
      <alignment horizontal="center" vertical="center"/>
    </xf>
    <xf numFmtId="0" fontId="22" fillId="11" borderId="1" xfId="4" applyFont="1" applyFill="1" applyBorder="1" applyAlignment="1">
      <alignment horizontal="left" vertical="center"/>
    </xf>
    <xf numFmtId="0" fontId="22" fillId="11" borderId="1" xfId="4" applyFont="1" applyFill="1" applyBorder="1" applyAlignment="1">
      <alignment horizontal="center" vertical="center"/>
    </xf>
    <xf numFmtId="165" fontId="24" fillId="11" borderId="1" xfId="4" applyNumberFormat="1" applyFont="1" applyFill="1" applyBorder="1" applyAlignment="1">
      <alignment horizontal="center" vertical="center" wrapText="1"/>
    </xf>
    <xf numFmtId="9" fontId="24" fillId="11" borderId="1" xfId="5" applyFont="1" applyFill="1" applyBorder="1" applyAlignment="1">
      <alignment horizontal="center" vertical="center"/>
    </xf>
    <xf numFmtId="165" fontId="22" fillId="11" borderId="1" xfId="6" applyNumberFormat="1" applyFont="1" applyFill="1" applyBorder="1" applyAlignment="1">
      <alignment horizontal="center" vertical="center"/>
    </xf>
    <xf numFmtId="165" fontId="25" fillId="11" borderId="1" xfId="4" applyNumberFormat="1" applyFont="1" applyFill="1" applyBorder="1" applyAlignment="1">
      <alignment horizontal="center" vertical="center" wrapText="1"/>
    </xf>
    <xf numFmtId="165" fontId="26" fillId="11" borderId="1" xfId="4" applyNumberFormat="1" applyFont="1" applyFill="1" applyBorder="1" applyAlignment="1">
      <alignment horizontal="center" vertical="center"/>
    </xf>
    <xf numFmtId="165" fontId="27" fillId="11" borderId="1" xfId="6" applyNumberFormat="1" applyFont="1" applyFill="1" applyBorder="1" applyAlignment="1">
      <alignment horizontal="center" vertical="center"/>
    </xf>
    <xf numFmtId="3" fontId="22" fillId="11" borderId="41" xfId="4" applyNumberFormat="1" applyFont="1" applyFill="1" applyBorder="1" applyAlignment="1">
      <alignment horizontal="center" vertical="center"/>
    </xf>
    <xf numFmtId="0" fontId="19" fillId="0" borderId="40" xfId="4" applyBorder="1" applyAlignment="1">
      <alignment horizontal="center" vertical="center"/>
    </xf>
    <xf numFmtId="0" fontId="19" fillId="0" borderId="1" xfId="4" applyBorder="1" applyAlignment="1">
      <alignment horizontal="left" vertical="center"/>
    </xf>
    <xf numFmtId="165" fontId="28" fillId="0" borderId="1" xfId="6" applyNumberFormat="1" applyFont="1" applyBorder="1" applyAlignment="1">
      <alignment horizontal="center" vertical="center"/>
    </xf>
    <xf numFmtId="9" fontId="28" fillId="0" borderId="1" xfId="5" applyFont="1" applyBorder="1" applyAlignment="1">
      <alignment horizontal="center" vertical="center"/>
    </xf>
    <xf numFmtId="165" fontId="0" fillId="0" borderId="1" xfId="6" applyNumberFormat="1" applyFont="1" applyBorder="1" applyAlignment="1">
      <alignment horizontal="center" vertical="center"/>
    </xf>
    <xf numFmtId="165" fontId="29" fillId="0" borderId="1" xfId="6" applyNumberFormat="1" applyFont="1" applyBorder="1" applyAlignment="1">
      <alignment horizontal="center" vertical="center"/>
    </xf>
    <xf numFmtId="165" fontId="30" fillId="0" borderId="1" xfId="4" applyNumberFormat="1" applyFont="1" applyBorder="1" applyAlignment="1">
      <alignment horizontal="center" vertical="center"/>
    </xf>
    <xf numFmtId="165" fontId="31" fillId="0" borderId="1" xfId="4" applyNumberFormat="1" applyFont="1" applyBorder="1" applyAlignment="1">
      <alignment horizontal="center" vertical="center"/>
    </xf>
    <xf numFmtId="3" fontId="19" fillId="0" borderId="41" xfId="4" applyNumberFormat="1" applyBorder="1" applyAlignment="1">
      <alignment horizontal="center" vertical="center"/>
    </xf>
    <xf numFmtId="0" fontId="19" fillId="11" borderId="1" xfId="4" applyFill="1" applyBorder="1" applyAlignment="1">
      <alignment horizontal="center" vertical="center"/>
    </xf>
    <xf numFmtId="165" fontId="29" fillId="11" borderId="1" xfId="6" applyNumberFormat="1" applyFont="1" applyFill="1" applyBorder="1" applyAlignment="1">
      <alignment horizontal="center" vertical="center"/>
    </xf>
    <xf numFmtId="0" fontId="32" fillId="10" borderId="42" xfId="4" applyFont="1" applyFill="1" applyBorder="1" applyAlignment="1">
      <alignment horizontal="center" vertical="center"/>
    </xf>
    <xf numFmtId="0" fontId="32" fillId="10" borderId="2" xfId="4" applyFont="1" applyFill="1" applyBorder="1" applyAlignment="1">
      <alignment horizontal="center" vertical="center"/>
    </xf>
    <xf numFmtId="0" fontId="19" fillId="10" borderId="2" xfId="4" applyFill="1" applyBorder="1" applyAlignment="1">
      <alignment horizontal="center" vertical="center"/>
    </xf>
    <xf numFmtId="165" fontId="24" fillId="10" borderId="2" xfId="4" applyNumberFormat="1" applyFont="1" applyFill="1" applyBorder="1" applyAlignment="1">
      <alignment horizontal="center" vertical="center"/>
    </xf>
    <xf numFmtId="9" fontId="24" fillId="10" borderId="2" xfId="4" applyNumberFormat="1" applyFont="1" applyFill="1" applyBorder="1" applyAlignment="1">
      <alignment horizontal="center" vertical="center"/>
    </xf>
    <xf numFmtId="165" fontId="22" fillId="10" borderId="2" xfId="6" applyNumberFormat="1" applyFont="1" applyFill="1" applyBorder="1" applyAlignment="1">
      <alignment horizontal="center" vertical="center"/>
    </xf>
    <xf numFmtId="165" fontId="25" fillId="10" borderId="2" xfId="6" applyNumberFormat="1" applyFont="1" applyFill="1" applyBorder="1" applyAlignment="1">
      <alignment horizontal="center" vertical="center"/>
    </xf>
    <xf numFmtId="165" fontId="26" fillId="10" borderId="2" xfId="4" applyNumberFormat="1" applyFont="1" applyFill="1" applyBorder="1" applyAlignment="1">
      <alignment horizontal="center" vertical="center"/>
    </xf>
    <xf numFmtId="165" fontId="27" fillId="10" borderId="2" xfId="4" applyNumberFormat="1" applyFont="1" applyFill="1" applyBorder="1" applyAlignment="1">
      <alignment horizontal="center" vertical="center"/>
    </xf>
    <xf numFmtId="3" fontId="22" fillId="10" borderId="43" xfId="4" applyNumberFormat="1" applyFont="1" applyFill="1" applyBorder="1" applyAlignment="1">
      <alignment horizontal="center" vertical="center"/>
    </xf>
    <xf numFmtId="0" fontId="22" fillId="10" borderId="38" xfId="4" applyFont="1" applyFill="1" applyBorder="1" applyAlignment="1">
      <alignment horizontal="center" vertical="center" wrapText="1"/>
    </xf>
    <xf numFmtId="0" fontId="22" fillId="10" borderId="39" xfId="4" applyFont="1" applyFill="1" applyBorder="1" applyAlignment="1">
      <alignment horizontal="center" vertical="center" wrapText="1"/>
    </xf>
    <xf numFmtId="0" fontId="33" fillId="0" borderId="1" xfId="4" applyFont="1" applyBorder="1" applyAlignment="1">
      <alignment horizontal="center" vertical="center"/>
    </xf>
    <xf numFmtId="0" fontId="33" fillId="0" borderId="1" xfId="4" applyFont="1" applyBorder="1" applyAlignment="1">
      <alignment vertical="center"/>
    </xf>
    <xf numFmtId="165" fontId="33" fillId="0" borderId="1" xfId="6" applyNumberFormat="1" applyFont="1" applyBorder="1" applyAlignment="1">
      <alignment vertical="center"/>
    </xf>
    <xf numFmtId="9" fontId="33" fillId="0" borderId="1" xfId="5" applyFont="1" applyBorder="1" applyAlignment="1">
      <alignment vertical="center"/>
    </xf>
    <xf numFmtId="165" fontId="33" fillId="0" borderId="1" xfId="4" applyNumberFormat="1" applyFont="1" applyBorder="1" applyAlignment="1">
      <alignment vertical="center"/>
    </xf>
    <xf numFmtId="165" fontId="34" fillId="12" borderId="1" xfId="6" applyNumberFormat="1" applyFont="1" applyFill="1" applyBorder="1" applyAlignment="1">
      <alignment horizontal="center" vertical="center" wrapText="1"/>
    </xf>
    <xf numFmtId="0" fontId="19" fillId="0" borderId="0" xfId="4" applyAlignment="1">
      <alignment vertical="center"/>
    </xf>
    <xf numFmtId="0" fontId="33" fillId="0" borderId="2" xfId="4" applyFont="1" applyBorder="1" applyAlignment="1">
      <alignment vertical="center"/>
    </xf>
    <xf numFmtId="165" fontId="33" fillId="0" borderId="2" xfId="6" applyNumberFormat="1" applyFont="1" applyBorder="1" applyAlignment="1">
      <alignment vertical="center"/>
    </xf>
    <xf numFmtId="9" fontId="33" fillId="0" borderId="2" xfId="5" applyFont="1" applyBorder="1" applyAlignment="1">
      <alignment vertical="center"/>
    </xf>
    <xf numFmtId="165" fontId="33" fillId="0" borderId="2" xfId="4" applyNumberFormat="1" applyFont="1" applyBorder="1" applyAlignment="1">
      <alignment vertical="center"/>
    </xf>
    <xf numFmtId="165" fontId="34" fillId="12" borderId="2" xfId="6" applyNumberFormat="1" applyFont="1" applyFill="1" applyBorder="1" applyAlignment="1">
      <alignment horizontal="center" vertical="center" wrapText="1"/>
    </xf>
    <xf numFmtId="0" fontId="33" fillId="10" borderId="2" xfId="4" applyFont="1" applyFill="1" applyBorder="1" applyAlignment="1">
      <alignment horizontal="center" vertical="center"/>
    </xf>
    <xf numFmtId="0" fontId="33" fillId="10" borderId="2" xfId="4" applyFont="1" applyFill="1" applyBorder="1" applyAlignment="1">
      <alignment vertical="center"/>
    </xf>
    <xf numFmtId="165" fontId="33" fillId="10" borderId="2" xfId="6" applyNumberFormat="1" applyFont="1" applyFill="1" applyBorder="1" applyAlignment="1">
      <alignment vertical="center"/>
    </xf>
    <xf numFmtId="9" fontId="33" fillId="10" borderId="2" xfId="5" applyFont="1" applyFill="1" applyBorder="1" applyAlignment="1">
      <alignment vertical="center"/>
    </xf>
    <xf numFmtId="165" fontId="33" fillId="10" borderId="2" xfId="4" applyNumberFormat="1" applyFont="1" applyFill="1" applyBorder="1" applyAlignment="1">
      <alignment vertical="center"/>
    </xf>
    <xf numFmtId="165" fontId="35" fillId="10" borderId="2" xfId="6" applyNumberFormat="1" applyFont="1" applyFill="1" applyBorder="1" applyAlignment="1">
      <alignment horizontal="center" vertical="center" wrapText="1"/>
    </xf>
    <xf numFmtId="165" fontId="33" fillId="12" borderId="1" xfId="6" applyNumberFormat="1" applyFont="1" applyFill="1" applyBorder="1" applyAlignment="1">
      <alignment vertical="center" wrapText="1"/>
    </xf>
    <xf numFmtId="165" fontId="33" fillId="12" borderId="1" xfId="6" applyNumberFormat="1" applyFont="1" applyFill="1" applyBorder="1" applyAlignment="1">
      <alignment horizontal="center" vertical="center" wrapText="1"/>
    </xf>
    <xf numFmtId="0" fontId="33" fillId="10" borderId="1" xfId="4" applyFont="1" applyFill="1" applyBorder="1" applyAlignment="1">
      <alignment horizontal="center" vertical="center"/>
    </xf>
    <xf numFmtId="0" fontId="33" fillId="10" borderId="1" xfId="4" applyFont="1" applyFill="1" applyBorder="1" applyAlignment="1">
      <alignment vertical="center"/>
    </xf>
    <xf numFmtId="165" fontId="33" fillId="10" borderId="1" xfId="6" applyNumberFormat="1" applyFont="1" applyFill="1" applyBorder="1" applyAlignment="1">
      <alignment vertical="center"/>
    </xf>
    <xf numFmtId="9" fontId="33" fillId="10" borderId="1" xfId="5" applyFont="1" applyFill="1" applyBorder="1" applyAlignment="1">
      <alignment vertical="center"/>
    </xf>
    <xf numFmtId="165" fontId="33" fillId="10" borderId="1" xfId="6" applyNumberFormat="1" applyFont="1" applyFill="1" applyBorder="1" applyAlignment="1">
      <alignment vertical="center" wrapText="1"/>
    </xf>
    <xf numFmtId="165" fontId="33" fillId="10" borderId="1" xfId="4" applyNumberFormat="1" applyFont="1" applyFill="1" applyBorder="1" applyAlignment="1">
      <alignment vertical="center"/>
    </xf>
    <xf numFmtId="165" fontId="33" fillId="10" borderId="1" xfId="6" applyNumberFormat="1" applyFont="1" applyFill="1" applyBorder="1" applyAlignment="1">
      <alignment horizontal="center" vertical="center" wrapText="1"/>
    </xf>
    <xf numFmtId="165" fontId="27" fillId="10" borderId="1" xfId="6" applyNumberFormat="1" applyFont="1" applyFill="1" applyBorder="1" applyAlignment="1">
      <alignment vertical="center"/>
    </xf>
    <xf numFmtId="165" fontId="35" fillId="10" borderId="1" xfId="6" applyNumberFormat="1" applyFont="1" applyFill="1" applyBorder="1" applyAlignment="1">
      <alignment horizontal="center" vertical="center" wrapText="1"/>
    </xf>
    <xf numFmtId="0" fontId="22" fillId="10" borderId="2" xfId="4" applyFont="1" applyFill="1" applyBorder="1" applyAlignment="1">
      <alignment horizontal="center" vertical="center"/>
    </xf>
    <xf numFmtId="0" fontId="22" fillId="10" borderId="2" xfId="4" applyFont="1" applyFill="1" applyBorder="1" applyAlignment="1">
      <alignment vertical="center"/>
    </xf>
    <xf numFmtId="165" fontId="22" fillId="10" borderId="2" xfId="6" applyNumberFormat="1" applyFont="1" applyFill="1" applyBorder="1" applyAlignment="1">
      <alignment vertical="center"/>
    </xf>
    <xf numFmtId="9" fontId="22" fillId="10" borderId="2" xfId="5" applyFont="1" applyFill="1" applyBorder="1" applyAlignment="1">
      <alignment vertical="center"/>
    </xf>
    <xf numFmtId="0" fontId="36" fillId="0" borderId="0" xfId="4" applyFont="1"/>
    <xf numFmtId="0" fontId="19" fillId="0" borderId="0" xfId="4" quotePrefix="1"/>
    <xf numFmtId="0" fontId="22" fillId="10" borderId="1" xfId="4" applyFont="1" applyFill="1" applyBorder="1" applyAlignment="1">
      <alignment horizontal="center" vertical="center"/>
    </xf>
    <xf numFmtId="0" fontId="22" fillId="10" borderId="1" xfId="4" applyFont="1" applyFill="1" applyBorder="1" applyAlignment="1">
      <alignment horizontal="center" vertical="center" wrapText="1"/>
    </xf>
    <xf numFmtId="0" fontId="19" fillId="0" borderId="1" xfId="4" applyBorder="1" applyAlignment="1">
      <alignment horizontal="center" vertical="center"/>
    </xf>
    <xf numFmtId="165" fontId="31" fillId="0" borderId="1" xfId="6" applyNumberFormat="1" applyFont="1" applyBorder="1" applyAlignment="1">
      <alignment horizontal="center" vertical="center"/>
    </xf>
    <xf numFmtId="0" fontId="32" fillId="10" borderId="1" xfId="4" applyFont="1" applyFill="1" applyBorder="1" applyAlignment="1">
      <alignment horizontal="center" vertical="center"/>
    </xf>
    <xf numFmtId="165" fontId="24" fillId="10" borderId="1" xfId="4" applyNumberFormat="1" applyFont="1" applyFill="1" applyBorder="1" applyAlignment="1">
      <alignment horizontal="center" vertical="center"/>
    </xf>
    <xf numFmtId="165" fontId="27" fillId="10" borderId="1" xfId="6" applyNumberFormat="1" applyFont="1" applyFill="1" applyBorder="1" applyAlignment="1">
      <alignment horizontal="center" vertical="center"/>
    </xf>
    <xf numFmtId="165" fontId="25" fillId="10" borderId="1" xfId="6" applyNumberFormat="1" applyFont="1" applyFill="1" applyBorder="1" applyAlignment="1">
      <alignment horizontal="center" vertical="center"/>
    </xf>
    <xf numFmtId="165" fontId="19" fillId="0" borderId="0" xfId="4" applyNumberFormat="1" applyAlignment="1">
      <alignment horizontal="center" vertical="center"/>
    </xf>
    <xf numFmtId="9" fontId="8" fillId="2" borderId="1" xfId="2" applyFont="1" applyFill="1" applyBorder="1" applyAlignment="1">
      <alignment horizontal="center" vertical="center" wrapText="1"/>
    </xf>
    <xf numFmtId="0" fontId="0" fillId="0" borderId="46" xfId="0" applyBorder="1"/>
    <xf numFmtId="0" fontId="37" fillId="2" borderId="0" xfId="0" applyFont="1" applyFill="1"/>
    <xf numFmtId="0" fontId="37" fillId="2" borderId="47" xfId="0" applyFont="1" applyFill="1" applyBorder="1"/>
    <xf numFmtId="0" fontId="0" fillId="0" borderId="49" xfId="0" applyBorder="1"/>
    <xf numFmtId="0" fontId="0" fillId="0" borderId="48" xfId="0" applyBorder="1"/>
    <xf numFmtId="49" fontId="0" fillId="0" borderId="0" xfId="0" applyNumberFormat="1"/>
    <xf numFmtId="0" fontId="5" fillId="0" borderId="7" xfId="0" applyFont="1" applyBorder="1" applyAlignment="1">
      <alignment vertical="center"/>
    </xf>
    <xf numFmtId="0" fontId="5" fillId="0" borderId="5" xfId="0" applyFont="1" applyBorder="1" applyAlignment="1">
      <alignment vertical="center"/>
    </xf>
    <xf numFmtId="9" fontId="0" fillId="0" borderId="7" xfId="2" applyFont="1" applyFill="1" applyBorder="1" applyAlignment="1">
      <alignment vertical="center"/>
    </xf>
    <xf numFmtId="0" fontId="3" fillId="0" borderId="0" xfId="0" applyFont="1" applyAlignment="1">
      <alignment vertical="center" wrapText="1"/>
    </xf>
    <xf numFmtId="0" fontId="8" fillId="6" borderId="54" xfId="0" applyFont="1" applyFill="1" applyBorder="1" applyAlignment="1">
      <alignment horizontal="center" vertical="center" wrapText="1"/>
    </xf>
    <xf numFmtId="165" fontId="8" fillId="2" borderId="57" xfId="1" applyNumberFormat="1" applyFont="1" applyFill="1" applyBorder="1" applyAlignment="1">
      <alignment horizontal="center" vertical="center" wrapText="1"/>
    </xf>
    <xf numFmtId="165" fontId="8" fillId="2" borderId="58" xfId="1" applyNumberFormat="1" applyFont="1" applyFill="1" applyBorder="1" applyAlignment="1">
      <alignment horizontal="center" vertical="center" wrapText="1"/>
    </xf>
    <xf numFmtId="165" fontId="8" fillId="2" borderId="59" xfId="1" applyNumberFormat="1" applyFont="1" applyFill="1" applyBorder="1" applyAlignment="1">
      <alignment horizontal="center" vertical="center" wrapText="1"/>
    </xf>
    <xf numFmtId="165" fontId="8" fillId="4" borderId="54" xfId="1" applyNumberFormat="1" applyFont="1" applyFill="1" applyBorder="1" applyAlignment="1">
      <alignment horizontal="center" vertical="center" wrapText="1"/>
    </xf>
    <xf numFmtId="165" fontId="8" fillId="4" borderId="55" xfId="1" applyNumberFormat="1" applyFont="1" applyFill="1" applyBorder="1" applyAlignment="1">
      <alignment horizontal="center" vertical="center" wrapText="1"/>
    </xf>
    <xf numFmtId="165" fontId="8" fillId="5" borderId="57" xfId="1" applyNumberFormat="1" applyFont="1" applyFill="1" applyBorder="1" applyAlignment="1">
      <alignment horizontal="center" vertical="center" wrapText="1"/>
    </xf>
    <xf numFmtId="165" fontId="8" fillId="5" borderId="56" xfId="1" applyNumberFormat="1" applyFont="1" applyFill="1" applyBorder="1" applyAlignment="1">
      <alignment horizontal="center" vertical="center" wrapText="1"/>
    </xf>
    <xf numFmtId="0" fontId="8" fillId="6" borderId="55" xfId="0" applyFont="1" applyFill="1" applyBorder="1" applyAlignment="1">
      <alignment horizontal="center" vertical="center" wrapText="1"/>
    </xf>
    <xf numFmtId="0" fontId="8" fillId="6" borderId="56" xfId="0" applyFont="1" applyFill="1" applyBorder="1" applyAlignment="1">
      <alignment horizontal="center" vertical="center" wrapText="1"/>
    </xf>
    <xf numFmtId="0" fontId="14" fillId="0" borderId="0" xfId="0" applyFont="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xf>
    <xf numFmtId="0" fontId="0" fillId="0" borderId="26" xfId="0" applyBorder="1" applyAlignment="1">
      <alignment horizontal="center" vertical="center"/>
    </xf>
    <xf numFmtId="0" fontId="6" fillId="0" borderId="0" xfId="0" quotePrefix="1" applyFont="1" applyAlignment="1">
      <alignment horizontal="center" vertical="center"/>
    </xf>
    <xf numFmtId="0" fontId="15" fillId="0" borderId="0" xfId="0" quotePrefix="1" applyFont="1" applyAlignment="1">
      <alignment horizontal="center" vertical="center"/>
    </xf>
    <xf numFmtId="0" fontId="0" fillId="0" borderId="25" xfId="0" applyBorder="1" applyAlignment="1">
      <alignment horizontal="center" vertical="center"/>
    </xf>
    <xf numFmtId="0" fontId="0" fillId="0" borderId="0" xfId="0" applyAlignment="1">
      <alignment horizontal="left" vertical="center"/>
    </xf>
    <xf numFmtId="0" fontId="14" fillId="0" borderId="0" xfId="0" applyFont="1" applyAlignment="1">
      <alignment horizontal="left" vertical="center"/>
    </xf>
    <xf numFmtId="0" fontId="0" fillId="0" borderId="7" xfId="0" applyBorder="1" applyAlignment="1">
      <alignment horizontal="left" vertical="center"/>
    </xf>
    <xf numFmtId="0" fontId="0" fillId="0" borderId="5" xfId="0" applyBorder="1" applyAlignment="1">
      <alignment horizontal="left" vertical="center"/>
    </xf>
    <xf numFmtId="0" fontId="0" fillId="0" borderId="25" xfId="0" applyBorder="1" applyAlignment="1">
      <alignment horizontal="left" vertical="center"/>
    </xf>
    <xf numFmtId="165" fontId="8" fillId="2" borderId="55" xfId="1" applyNumberFormat="1" applyFont="1" applyFill="1" applyBorder="1" applyAlignment="1">
      <alignment horizontal="center" vertical="center" wrapText="1"/>
    </xf>
    <xf numFmtId="165" fontId="8" fillId="2" borderId="56" xfId="1" applyNumberFormat="1" applyFont="1" applyFill="1" applyBorder="1" applyAlignment="1">
      <alignment horizontal="center" vertical="center" wrapText="1"/>
    </xf>
    <xf numFmtId="0" fontId="5" fillId="0" borderId="25" xfId="0" applyFont="1" applyBorder="1" applyAlignment="1">
      <alignment vertical="center"/>
    </xf>
    <xf numFmtId="0" fontId="38" fillId="0" borderId="0" xfId="0" applyFont="1" applyAlignment="1">
      <alignment vertical="center"/>
    </xf>
    <xf numFmtId="0" fontId="8" fillId="4" borderId="1" xfId="0" applyFont="1" applyFill="1" applyBorder="1" applyAlignment="1">
      <alignment horizontal="center" vertical="center" wrapText="1"/>
    </xf>
    <xf numFmtId="9" fontId="33" fillId="0" borderId="1" xfId="5" applyFont="1" applyFill="1" applyBorder="1" applyAlignment="1">
      <alignment vertical="center"/>
    </xf>
    <xf numFmtId="0" fontId="38" fillId="8" borderId="61" xfId="0" applyFont="1" applyFill="1" applyBorder="1" applyAlignment="1">
      <alignment vertical="center"/>
    </xf>
    <xf numFmtId="0" fontId="38" fillId="8" borderId="52" xfId="0" applyFont="1" applyFill="1" applyBorder="1" applyAlignment="1">
      <alignment vertical="center"/>
    </xf>
    <xf numFmtId="0" fontId="38" fillId="8" borderId="53" xfId="0" applyFont="1" applyFill="1" applyBorder="1" applyAlignment="1">
      <alignment vertical="center"/>
    </xf>
    <xf numFmtId="165" fontId="38" fillId="8" borderId="16" xfId="1" applyNumberFormat="1" applyFont="1" applyFill="1" applyBorder="1" applyAlignment="1">
      <alignment vertical="center"/>
    </xf>
    <xf numFmtId="165" fontId="38" fillId="8" borderId="5" xfId="1" applyNumberFormat="1" applyFont="1" applyFill="1" applyBorder="1" applyAlignment="1">
      <alignment vertical="center"/>
    </xf>
    <xf numFmtId="9" fontId="38" fillId="8" borderId="7" xfId="2" applyFont="1" applyFill="1" applyBorder="1" applyAlignment="1">
      <alignment vertical="center"/>
    </xf>
    <xf numFmtId="165" fontId="38" fillId="8" borderId="17" xfId="1" applyNumberFormat="1" applyFont="1" applyFill="1" applyBorder="1" applyAlignment="1">
      <alignment vertical="center"/>
    </xf>
    <xf numFmtId="165" fontId="38" fillId="8" borderId="9" xfId="1" applyNumberFormat="1" applyFont="1" applyFill="1" applyBorder="1" applyAlignment="1">
      <alignment vertical="center"/>
    </xf>
    <xf numFmtId="165" fontId="38" fillId="8" borderId="11" xfId="1" applyNumberFormat="1" applyFont="1" applyFill="1" applyBorder="1" applyAlignment="1">
      <alignment vertical="center"/>
    </xf>
    <xf numFmtId="0" fontId="38" fillId="8" borderId="9" xfId="0" applyFont="1" applyFill="1" applyBorder="1" applyAlignment="1">
      <alignment vertical="center"/>
    </xf>
    <xf numFmtId="165" fontId="38" fillId="8" borderId="24" xfId="1" applyNumberFormat="1" applyFont="1" applyFill="1" applyBorder="1" applyAlignment="1">
      <alignment vertical="center"/>
    </xf>
    <xf numFmtId="165" fontId="38" fillId="8" borderId="25" xfId="1" applyNumberFormat="1" applyFont="1" applyFill="1" applyBorder="1" applyAlignment="1">
      <alignment vertical="center"/>
    </xf>
    <xf numFmtId="9" fontId="38" fillId="8" borderId="45" xfId="2" applyFont="1" applyFill="1" applyBorder="1" applyAlignment="1">
      <alignment vertical="center"/>
    </xf>
    <xf numFmtId="165" fontId="38" fillId="8" borderId="26" xfId="1" applyNumberFormat="1" applyFont="1" applyFill="1" applyBorder="1" applyAlignment="1">
      <alignment vertical="center"/>
    </xf>
    <xf numFmtId="165" fontId="38" fillId="8" borderId="34" xfId="1" applyNumberFormat="1" applyFont="1" applyFill="1" applyBorder="1" applyAlignment="1">
      <alignment vertical="center"/>
    </xf>
    <xf numFmtId="165" fontId="38" fillId="8" borderId="36" xfId="1" applyNumberFormat="1" applyFont="1" applyFill="1" applyBorder="1" applyAlignment="1">
      <alignment vertical="center"/>
    </xf>
    <xf numFmtId="0" fontId="38" fillId="8" borderId="62" xfId="0" applyFont="1" applyFill="1" applyBorder="1" applyAlignment="1">
      <alignment vertical="center"/>
    </xf>
    <xf numFmtId="0" fontId="38" fillId="8" borderId="60" xfId="0" applyFont="1" applyFill="1" applyBorder="1" applyAlignment="1">
      <alignment vertical="center"/>
    </xf>
    <xf numFmtId="0" fontId="13" fillId="13" borderId="30" xfId="0" applyFont="1" applyFill="1" applyBorder="1" applyAlignment="1">
      <alignment vertical="center"/>
    </xf>
    <xf numFmtId="0" fontId="13" fillId="13" borderId="31" xfId="0" applyFont="1" applyFill="1" applyBorder="1" applyAlignment="1">
      <alignment vertical="center"/>
    </xf>
    <xf numFmtId="165" fontId="13" fillId="13" borderId="27" xfId="1" applyNumberFormat="1" applyFont="1" applyFill="1" applyBorder="1" applyAlignment="1">
      <alignment vertical="center"/>
    </xf>
    <xf numFmtId="165" fontId="13" fillId="13" borderId="28" xfId="1" applyNumberFormat="1" applyFont="1" applyFill="1" applyBorder="1" applyAlignment="1">
      <alignment vertical="center"/>
    </xf>
    <xf numFmtId="9" fontId="13" fillId="13" borderId="37" xfId="2" applyFont="1" applyFill="1" applyBorder="1" applyAlignment="1">
      <alignment vertical="center"/>
    </xf>
    <xf numFmtId="9" fontId="13" fillId="13" borderId="28" xfId="2" applyFont="1" applyFill="1" applyBorder="1" applyAlignment="1">
      <alignment vertical="center"/>
    </xf>
    <xf numFmtId="165" fontId="13" fillId="13" borderId="29" xfId="1" applyNumberFormat="1" applyFont="1" applyFill="1" applyBorder="1" applyAlignment="1">
      <alignment vertical="center"/>
    </xf>
    <xf numFmtId="165" fontId="13" fillId="13" borderId="37" xfId="1" applyNumberFormat="1" applyFont="1" applyFill="1" applyBorder="1" applyAlignment="1">
      <alignment vertical="center"/>
    </xf>
    <xf numFmtId="9" fontId="0" fillId="0" borderId="10" xfId="2" applyFont="1" applyFill="1" applyBorder="1" applyAlignment="1">
      <alignment vertical="center"/>
    </xf>
    <xf numFmtId="0" fontId="13" fillId="13" borderId="31" xfId="0" applyFont="1" applyFill="1" applyBorder="1" applyAlignment="1">
      <alignment horizontal="center" vertical="center"/>
    </xf>
    <xf numFmtId="0" fontId="13" fillId="13" borderId="31" xfId="0" applyFont="1" applyFill="1" applyBorder="1" applyAlignment="1">
      <alignment horizontal="left" vertical="center"/>
    </xf>
    <xf numFmtId="0" fontId="13" fillId="13" borderId="32" xfId="0" applyFont="1" applyFill="1" applyBorder="1" applyAlignment="1">
      <alignment horizontal="center" vertical="center"/>
    </xf>
    <xf numFmtId="165" fontId="0" fillId="8" borderId="16" xfId="1" applyNumberFormat="1" applyFont="1" applyFill="1" applyBorder="1" applyAlignment="1">
      <alignment vertical="center"/>
    </xf>
    <xf numFmtId="165" fontId="0" fillId="8" borderId="5" xfId="1" applyNumberFormat="1" applyFont="1" applyFill="1" applyBorder="1" applyAlignment="1">
      <alignment vertical="center"/>
    </xf>
    <xf numFmtId="9" fontId="0" fillId="8" borderId="10" xfId="2" applyFont="1" applyFill="1" applyBorder="1" applyAlignment="1">
      <alignment vertical="center"/>
    </xf>
    <xf numFmtId="165" fontId="0" fillId="8" borderId="17" xfId="1" applyNumberFormat="1" applyFont="1" applyFill="1" applyBorder="1" applyAlignment="1">
      <alignment vertical="center"/>
    </xf>
    <xf numFmtId="165" fontId="0" fillId="8" borderId="24" xfId="1" applyNumberFormat="1" applyFont="1" applyFill="1" applyBorder="1" applyAlignment="1">
      <alignment vertical="center"/>
    </xf>
    <xf numFmtId="165" fontId="0" fillId="8" borderId="25" xfId="1" applyNumberFormat="1" applyFont="1" applyFill="1" applyBorder="1" applyAlignment="1">
      <alignment vertical="center"/>
    </xf>
    <xf numFmtId="9" fontId="0" fillId="8" borderId="44" xfId="2" applyFont="1" applyFill="1" applyBorder="1" applyAlignment="1">
      <alignment vertical="center"/>
    </xf>
    <xf numFmtId="165" fontId="0" fillId="8" borderId="26" xfId="1" applyNumberFormat="1" applyFont="1" applyFill="1" applyBorder="1" applyAlignment="1">
      <alignment vertical="center"/>
    </xf>
    <xf numFmtId="0" fontId="39" fillId="8" borderId="52" xfId="0" applyFont="1" applyFill="1" applyBorder="1" applyAlignment="1">
      <alignment vertical="center"/>
    </xf>
    <xf numFmtId="166" fontId="33" fillId="0" borderId="1" xfId="6" applyNumberFormat="1" applyFont="1" applyBorder="1" applyAlignment="1">
      <alignment vertical="center"/>
    </xf>
    <xf numFmtId="167" fontId="0" fillId="0" borderId="5" xfId="1" applyNumberFormat="1" applyFont="1" applyBorder="1" applyAlignment="1">
      <alignment vertical="center"/>
    </xf>
    <xf numFmtId="165" fontId="33" fillId="0" borderId="1" xfId="1" applyNumberFormat="1" applyFont="1" applyBorder="1" applyAlignment="1">
      <alignment vertical="center"/>
    </xf>
    <xf numFmtId="165" fontId="33" fillId="0" borderId="2" xfId="1" applyNumberFormat="1" applyFont="1" applyBorder="1" applyAlignment="1">
      <alignment vertical="center"/>
    </xf>
    <xf numFmtId="165" fontId="33" fillId="10" borderId="2" xfId="1" applyNumberFormat="1" applyFont="1" applyFill="1" applyBorder="1" applyAlignment="1">
      <alignment vertical="center"/>
    </xf>
    <xf numFmtId="165" fontId="33" fillId="10" borderId="1" xfId="1" applyNumberFormat="1" applyFont="1" applyFill="1" applyBorder="1" applyAlignment="1">
      <alignment vertical="center"/>
    </xf>
    <xf numFmtId="165" fontId="22" fillId="10" borderId="2" xfId="1" applyNumberFormat="1" applyFont="1" applyFill="1" applyBorder="1" applyAlignment="1">
      <alignment vertical="center"/>
    </xf>
    <xf numFmtId="165" fontId="27" fillId="10" borderId="1" xfId="1" applyNumberFormat="1" applyFont="1" applyFill="1" applyBorder="1" applyAlignment="1">
      <alignment horizontal="center" vertical="center"/>
    </xf>
    <xf numFmtId="165" fontId="19" fillId="0" borderId="0" xfId="1" applyNumberFormat="1" applyFont="1"/>
    <xf numFmtId="165" fontId="0" fillId="0" borderId="0" xfId="0" applyNumberFormat="1" applyAlignment="1">
      <alignment vertical="center"/>
    </xf>
    <xf numFmtId="164" fontId="0" fillId="0" borderId="0" xfId="1" applyFont="1" applyAlignment="1">
      <alignment vertical="center"/>
    </xf>
    <xf numFmtId="165" fontId="3" fillId="0" borderId="26" xfId="1" applyNumberFormat="1" applyFont="1" applyBorder="1" applyAlignment="1">
      <alignment vertical="center"/>
    </xf>
    <xf numFmtId="0" fontId="1" fillId="0" borderId="25" xfId="0" applyFont="1" applyBorder="1" applyAlignment="1">
      <alignment vertical="center"/>
    </xf>
    <xf numFmtId="168" fontId="0" fillId="0" borderId="0" xfId="1" applyNumberFormat="1" applyFont="1" applyAlignment="1">
      <alignment vertical="center"/>
    </xf>
    <xf numFmtId="165" fontId="1" fillId="0" borderId="25" xfId="1" applyNumberFormat="1" applyFont="1" applyBorder="1" applyAlignment="1">
      <alignment vertical="center"/>
    </xf>
    <xf numFmtId="165" fontId="8" fillId="2" borderId="33" xfId="1" applyNumberFormat="1" applyFont="1" applyFill="1" applyBorder="1" applyAlignment="1">
      <alignment horizontal="left" vertical="center"/>
    </xf>
    <xf numFmtId="165" fontId="13" fillId="0" borderId="7" xfId="1" applyNumberFormat="1" applyFont="1" applyBorder="1" applyAlignment="1">
      <alignment vertical="center"/>
    </xf>
    <xf numFmtId="165" fontId="1" fillId="0" borderId="5" xfId="1" applyNumberFormat="1" applyFont="1" applyBorder="1" applyAlignment="1">
      <alignment vertical="center"/>
    </xf>
    <xf numFmtId="165" fontId="13" fillId="0" borderId="5" xfId="1" applyNumberFormat="1" applyFont="1" applyBorder="1" applyAlignment="1">
      <alignment vertical="center"/>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165" fontId="8" fillId="2" borderId="21" xfId="1" applyNumberFormat="1" applyFont="1" applyFill="1" applyBorder="1" applyAlignment="1">
      <alignment horizontal="left" vertical="center"/>
    </xf>
    <xf numFmtId="165" fontId="8" fillId="2" borderId="33" xfId="1" applyNumberFormat="1" applyFont="1" applyFill="1" applyBorder="1" applyAlignment="1">
      <alignment horizontal="left" vertical="center"/>
    </xf>
    <xf numFmtId="165" fontId="8" fillId="9" borderId="33" xfId="1" applyNumberFormat="1" applyFont="1" applyFill="1" applyBorder="1" applyAlignment="1">
      <alignment horizontal="center" vertical="center"/>
    </xf>
    <xf numFmtId="165" fontId="8" fillId="9" borderId="23" xfId="1" applyNumberFormat="1" applyFont="1" applyFill="1" applyBorder="1" applyAlignment="1">
      <alignment horizontal="center" vertical="center"/>
    </xf>
    <xf numFmtId="0" fontId="8" fillId="6" borderId="12" xfId="0" applyFont="1" applyFill="1" applyBorder="1" applyAlignment="1">
      <alignment horizontal="center" vertical="center"/>
    </xf>
    <xf numFmtId="0" fontId="8" fillId="6" borderId="18" xfId="0" applyFont="1" applyFill="1" applyBorder="1" applyAlignment="1">
      <alignment horizontal="center" vertical="center"/>
    </xf>
    <xf numFmtId="0" fontId="8" fillId="6" borderId="13" xfId="0" applyFont="1" applyFill="1" applyBorder="1" applyAlignment="1">
      <alignment vertical="center"/>
    </xf>
    <xf numFmtId="0" fontId="8" fillId="6" borderId="19" xfId="0" applyFont="1" applyFill="1" applyBorder="1" applyAlignment="1">
      <alignment vertical="center"/>
    </xf>
    <xf numFmtId="0" fontId="8" fillId="6" borderId="50" xfId="0" applyFont="1" applyFill="1" applyBorder="1" applyAlignment="1">
      <alignment vertical="center"/>
    </xf>
    <xf numFmtId="0" fontId="8" fillId="6" borderId="51" xfId="0" applyFont="1" applyFill="1" applyBorder="1" applyAlignment="1">
      <alignment vertical="center"/>
    </xf>
    <xf numFmtId="0" fontId="19" fillId="0" borderId="1" xfId="4" applyBorder="1" applyAlignment="1">
      <alignment horizontal="center"/>
    </xf>
    <xf numFmtId="0" fontId="20" fillId="0" borderId="1" xfId="4" applyFont="1" applyBorder="1" applyAlignment="1">
      <alignment horizontal="center" vertical="center" wrapText="1"/>
    </xf>
    <xf numFmtId="165" fontId="0" fillId="0" borderId="0" xfId="1" applyNumberFormat="1" applyFont="1" applyFill="1" applyBorder="1" applyAlignment="1">
      <alignment vertical="center"/>
    </xf>
    <xf numFmtId="165" fontId="14" fillId="0" borderId="0" xfId="1" applyNumberFormat="1" applyFont="1" applyFill="1" applyBorder="1" applyAlignment="1">
      <alignment vertical="center"/>
    </xf>
    <xf numFmtId="165" fontId="8" fillId="0" borderId="0" xfId="1" applyNumberFormat="1" applyFont="1" applyFill="1" applyBorder="1" applyAlignment="1">
      <alignment horizontal="left" vertical="center"/>
    </xf>
    <xf numFmtId="165" fontId="38" fillId="0" borderId="0" xfId="1" applyNumberFormat="1" applyFont="1" applyFill="1" applyBorder="1" applyAlignment="1">
      <alignment vertical="center"/>
    </xf>
    <xf numFmtId="165" fontId="13" fillId="0" borderId="0" xfId="1" applyNumberFormat="1" applyFont="1" applyFill="1" applyBorder="1" applyAlignment="1">
      <alignment vertical="center"/>
    </xf>
    <xf numFmtId="0" fontId="8" fillId="6" borderId="22" xfId="0" applyFont="1" applyFill="1" applyBorder="1" applyAlignment="1">
      <alignment vertical="center"/>
    </xf>
    <xf numFmtId="0" fontId="8" fillId="6" borderId="63" xfId="0" applyFont="1" applyFill="1"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34" xfId="0" applyBorder="1" applyAlignment="1">
      <alignment vertical="center"/>
    </xf>
    <xf numFmtId="165" fontId="13" fillId="13" borderId="64" xfId="1" applyNumberFormat="1" applyFont="1" applyFill="1" applyBorder="1" applyAlignment="1">
      <alignment vertical="center"/>
    </xf>
    <xf numFmtId="165" fontId="0" fillId="7" borderId="65" xfId="1" applyNumberFormat="1" applyFont="1" applyFill="1" applyBorder="1" applyAlignment="1">
      <alignment vertical="center"/>
    </xf>
    <xf numFmtId="165" fontId="0" fillId="0" borderId="66" xfId="1" applyNumberFormat="1" applyFont="1" applyBorder="1" applyAlignment="1">
      <alignment vertical="center"/>
    </xf>
    <xf numFmtId="165" fontId="0" fillId="0" borderId="67" xfId="1" applyNumberFormat="1" applyFont="1" applyBorder="1" applyAlignment="1">
      <alignment vertical="center"/>
    </xf>
    <xf numFmtId="165" fontId="13" fillId="13" borderId="32" xfId="1" applyNumberFormat="1" applyFont="1" applyFill="1" applyBorder="1" applyAlignment="1">
      <alignment vertical="center"/>
    </xf>
    <xf numFmtId="9" fontId="0" fillId="0" borderId="14" xfId="2" applyFont="1" applyBorder="1" applyAlignment="1">
      <alignment vertical="center"/>
    </xf>
    <xf numFmtId="9" fontId="0" fillId="0" borderId="15" xfId="2" applyFont="1" applyBorder="1" applyAlignment="1">
      <alignment vertical="center"/>
    </xf>
    <xf numFmtId="9" fontId="0" fillId="0" borderId="14" xfId="2" applyFont="1" applyFill="1" applyBorder="1" applyAlignment="1">
      <alignment vertical="center"/>
    </xf>
    <xf numFmtId="9" fontId="0" fillId="0" borderId="15" xfId="2" applyFont="1" applyFill="1" applyBorder="1" applyAlignment="1">
      <alignment vertical="center"/>
    </xf>
    <xf numFmtId="9" fontId="38" fillId="8" borderId="14" xfId="2" applyFont="1" applyFill="1" applyBorder="1" applyAlignment="1">
      <alignment vertical="center"/>
    </xf>
    <xf numFmtId="9" fontId="38" fillId="8" borderId="15" xfId="2" applyFont="1" applyFill="1" applyBorder="1" applyAlignment="1">
      <alignment vertical="center"/>
    </xf>
    <xf numFmtId="9" fontId="38" fillId="8" borderId="68" xfId="2" applyFont="1" applyFill="1" applyBorder="1" applyAlignment="1">
      <alignment vertical="center"/>
    </xf>
    <xf numFmtId="9" fontId="38" fillId="8" borderId="69" xfId="2" applyFont="1" applyFill="1" applyBorder="1" applyAlignment="1">
      <alignment vertical="center"/>
    </xf>
    <xf numFmtId="9" fontId="0" fillId="0" borderId="24" xfId="2" applyFont="1" applyBorder="1" applyAlignment="1">
      <alignment vertical="center"/>
    </xf>
    <xf numFmtId="9" fontId="0" fillId="0" borderId="26" xfId="2" applyFont="1" applyBorder="1" applyAlignment="1">
      <alignment vertical="center"/>
    </xf>
    <xf numFmtId="9" fontId="13" fillId="13" borderId="27" xfId="2" applyFont="1" applyFill="1" applyBorder="1" applyAlignment="1">
      <alignment vertical="center"/>
    </xf>
    <xf numFmtId="9" fontId="13" fillId="13" borderId="29" xfId="2" applyFont="1" applyFill="1" applyBorder="1" applyAlignment="1">
      <alignment vertical="center"/>
    </xf>
    <xf numFmtId="165" fontId="0" fillId="0" borderId="53" xfId="1" applyNumberFormat="1" applyFont="1" applyBorder="1" applyAlignment="1">
      <alignment vertical="center"/>
    </xf>
    <xf numFmtId="165" fontId="38" fillId="8" borderId="53" xfId="1" applyNumberFormat="1" applyFont="1" applyFill="1" applyBorder="1" applyAlignment="1">
      <alignment vertical="center"/>
    </xf>
    <xf numFmtId="165" fontId="38" fillId="8" borderId="67" xfId="1" applyNumberFormat="1" applyFont="1" applyFill="1" applyBorder="1" applyAlignment="1">
      <alignment vertical="center"/>
    </xf>
    <xf numFmtId="165" fontId="8" fillId="9" borderId="21" xfId="1" applyNumberFormat="1" applyFont="1" applyFill="1" applyBorder="1" applyAlignment="1">
      <alignment horizontal="center" vertical="center"/>
    </xf>
    <xf numFmtId="165" fontId="0" fillId="0" borderId="72" xfId="1" applyNumberFormat="1" applyFont="1" applyBorder="1" applyAlignment="1">
      <alignment vertical="center"/>
    </xf>
    <xf numFmtId="165" fontId="0" fillId="0" borderId="73" xfId="1" applyNumberFormat="1" applyFont="1" applyBorder="1" applyAlignment="1">
      <alignment vertical="center"/>
    </xf>
    <xf numFmtId="165" fontId="38" fillId="8" borderId="73" xfId="1" applyNumberFormat="1" applyFont="1" applyFill="1" applyBorder="1" applyAlignment="1">
      <alignment vertical="center"/>
    </xf>
    <xf numFmtId="165" fontId="38" fillId="8" borderId="74" xfId="1" applyNumberFormat="1" applyFont="1" applyFill="1" applyBorder="1" applyAlignment="1">
      <alignment vertical="center"/>
    </xf>
    <xf numFmtId="165" fontId="0" fillId="0" borderId="74" xfId="1" applyNumberFormat="1" applyFont="1" applyBorder="1" applyAlignment="1">
      <alignment vertical="center"/>
    </xf>
    <xf numFmtId="165" fontId="13" fillId="13" borderId="75" xfId="1" applyNumberFormat="1" applyFont="1" applyFill="1" applyBorder="1" applyAlignment="1">
      <alignment vertical="center"/>
    </xf>
    <xf numFmtId="165" fontId="8" fillId="2" borderId="21" xfId="1" applyNumberFormat="1" applyFont="1" applyFill="1" applyBorder="1" applyAlignment="1">
      <alignment horizontal="center" vertical="center"/>
    </xf>
    <xf numFmtId="165" fontId="8" fillId="2" borderId="33" xfId="1" applyNumberFormat="1" applyFont="1" applyFill="1" applyBorder="1" applyAlignment="1">
      <alignment horizontal="center" vertical="center"/>
    </xf>
    <xf numFmtId="165" fontId="8" fillId="2" borderId="23" xfId="1" applyNumberFormat="1" applyFont="1" applyFill="1" applyBorder="1" applyAlignment="1">
      <alignment horizontal="center" vertical="center"/>
    </xf>
    <xf numFmtId="165" fontId="8" fillId="4" borderId="21" xfId="1" applyNumberFormat="1" applyFont="1" applyFill="1" applyBorder="1" applyAlignment="1">
      <alignment horizontal="center" vertical="center"/>
    </xf>
    <xf numFmtId="165" fontId="8" fillId="4" borderId="33" xfId="1" applyNumberFormat="1" applyFont="1" applyFill="1" applyBorder="1" applyAlignment="1">
      <alignment horizontal="center" vertical="center"/>
    </xf>
    <xf numFmtId="165" fontId="8" fillId="4" borderId="23" xfId="1" applyNumberFormat="1" applyFont="1" applyFill="1" applyBorder="1" applyAlignment="1">
      <alignment horizontal="center" vertical="center"/>
    </xf>
    <xf numFmtId="165" fontId="8" fillId="5" borderId="21" xfId="1" applyNumberFormat="1" applyFont="1" applyFill="1" applyBorder="1" applyAlignment="1">
      <alignment horizontal="center" vertical="center"/>
    </xf>
    <xf numFmtId="165" fontId="8" fillId="5" borderId="33" xfId="1" applyNumberFormat="1" applyFont="1" applyFill="1" applyBorder="1" applyAlignment="1">
      <alignment horizontal="center" vertical="center"/>
    </xf>
    <xf numFmtId="165" fontId="8" fillId="5" borderId="23" xfId="1" applyNumberFormat="1" applyFont="1" applyFill="1" applyBorder="1" applyAlignment="1">
      <alignment horizontal="center" vertical="center"/>
    </xf>
    <xf numFmtId="9" fontId="0" fillId="0" borderId="0" xfId="2" applyFont="1" applyAlignment="1">
      <alignment vertical="center"/>
    </xf>
    <xf numFmtId="2" fontId="8" fillId="4" borderId="21" xfId="1" applyNumberFormat="1" applyFont="1" applyFill="1" applyBorder="1" applyAlignment="1">
      <alignment horizontal="center" vertical="center"/>
    </xf>
    <xf numFmtId="2" fontId="8" fillId="4" borderId="33" xfId="1" applyNumberFormat="1" applyFont="1" applyFill="1" applyBorder="1" applyAlignment="1">
      <alignment horizontal="center" vertical="center"/>
    </xf>
    <xf numFmtId="2" fontId="8" fillId="4" borderId="23" xfId="1" applyNumberFormat="1" applyFont="1" applyFill="1" applyBorder="1" applyAlignment="1">
      <alignment horizontal="center" vertical="center"/>
    </xf>
    <xf numFmtId="165" fontId="0" fillId="0" borderId="77" xfId="1" applyNumberFormat="1" applyFont="1" applyBorder="1" applyAlignment="1">
      <alignment vertical="center"/>
    </xf>
    <xf numFmtId="165" fontId="0" fillId="0" borderId="61" xfId="1" applyNumberFormat="1" applyFont="1" applyBorder="1" applyAlignment="1">
      <alignment vertical="center"/>
    </xf>
    <xf numFmtId="165" fontId="38" fillId="8" borderId="61" xfId="1" applyNumberFormat="1" applyFont="1" applyFill="1" applyBorder="1" applyAlignment="1">
      <alignment vertical="center"/>
    </xf>
    <xf numFmtId="165" fontId="38" fillId="8" borderId="78" xfId="1" applyNumberFormat="1" applyFont="1" applyFill="1" applyBorder="1" applyAlignment="1">
      <alignment vertical="center"/>
    </xf>
    <xf numFmtId="165" fontId="0" fillId="0" borderId="78" xfId="1" applyNumberFormat="1" applyFont="1" applyBorder="1" applyAlignment="1">
      <alignment vertical="center"/>
    </xf>
    <xf numFmtId="165" fontId="13" fillId="13" borderId="30" xfId="1" applyNumberFormat="1" applyFont="1" applyFill="1" applyBorder="1" applyAlignment="1">
      <alignment vertical="center"/>
    </xf>
    <xf numFmtId="165" fontId="8" fillId="4" borderId="70" xfId="1" applyNumberFormat="1" applyFont="1" applyFill="1" applyBorder="1" applyAlignment="1">
      <alignment horizontal="center" vertical="center"/>
    </xf>
    <xf numFmtId="165" fontId="0" fillId="7" borderId="18" xfId="1" applyNumberFormat="1" applyFont="1" applyFill="1" applyBorder="1" applyAlignment="1">
      <alignment horizontal="center" vertical="center"/>
    </xf>
    <xf numFmtId="165" fontId="0" fillId="7" borderId="19" xfId="1" applyNumberFormat="1" applyFont="1" applyFill="1" applyBorder="1" applyAlignment="1">
      <alignment horizontal="center" vertical="center"/>
    </xf>
    <xf numFmtId="165" fontId="0" fillId="7" borderId="20" xfId="1" applyNumberFormat="1" applyFont="1" applyFill="1" applyBorder="1" applyAlignment="1">
      <alignment horizontal="center" vertical="center"/>
    </xf>
    <xf numFmtId="165" fontId="0" fillId="7" borderId="76" xfId="1" applyNumberFormat="1" applyFont="1" applyFill="1" applyBorder="1" applyAlignment="1">
      <alignment horizontal="center" vertical="center"/>
    </xf>
    <xf numFmtId="165" fontId="0" fillId="7" borderId="71" xfId="1" applyNumberFormat="1" applyFont="1" applyFill="1" applyBorder="1" applyAlignment="1">
      <alignment horizontal="center" vertical="center"/>
    </xf>
    <xf numFmtId="165" fontId="38" fillId="8" borderId="7" xfId="1" applyNumberFormat="1" applyFont="1" applyFill="1" applyBorder="1" applyAlignment="1">
      <alignment vertical="center"/>
    </xf>
    <xf numFmtId="165" fontId="38" fillId="8" borderId="45" xfId="1" applyNumberFormat="1" applyFont="1" applyFill="1" applyBorder="1" applyAlignment="1">
      <alignment vertical="center"/>
    </xf>
    <xf numFmtId="165" fontId="0" fillId="0" borderId="5" xfId="1" applyNumberFormat="1" applyFont="1" applyFill="1" applyBorder="1" applyAlignment="1">
      <alignment vertical="center"/>
    </xf>
    <xf numFmtId="165" fontId="8" fillId="4" borderId="56" xfId="1" applyNumberFormat="1" applyFont="1" applyFill="1" applyBorder="1" applyAlignment="1">
      <alignment horizontal="center" vertical="center" wrapText="1"/>
    </xf>
    <xf numFmtId="165" fontId="8" fillId="9" borderId="57" xfId="1" applyNumberFormat="1" applyFont="1" applyFill="1" applyBorder="1" applyAlignment="1">
      <alignment horizontal="center" vertical="center" wrapText="1"/>
    </xf>
    <xf numFmtId="165" fontId="8" fillId="9" borderId="56" xfId="1" applyNumberFormat="1" applyFont="1" applyFill="1" applyBorder="1" applyAlignment="1">
      <alignment horizontal="center" vertical="center" wrapText="1"/>
    </xf>
    <xf numFmtId="165" fontId="38" fillId="8" borderId="79" xfId="1" applyNumberFormat="1" applyFont="1" applyFill="1" applyBorder="1" applyAlignment="1">
      <alignment vertical="center"/>
    </xf>
  </cellXfs>
  <cellStyles count="7">
    <cellStyle name="Comma" xfId="1" builtinId="3"/>
    <cellStyle name="Comma 2" xfId="6" xr:uid="{A4EC1466-3E58-4432-BCDA-A9211D90FE05}"/>
    <cellStyle name="Hyperlink" xfId="3" builtinId="8"/>
    <cellStyle name="Normal" xfId="0" builtinId="0"/>
    <cellStyle name="Normal 2" xfId="4" xr:uid="{C3D25ACF-802A-4510-B865-25AB46CE594D}"/>
    <cellStyle name="Percent" xfId="2" builtinId="5"/>
    <cellStyle name="Percent 2" xfId="5" xr:uid="{68367EB2-1A70-4113-8438-AE8AECD70BFC}"/>
  </cellStyles>
  <dxfs count="80">
    <dxf>
      <font>
        <color rgb="FF9C0006"/>
      </font>
      <fill>
        <patternFill>
          <bgColor rgb="FFFFC7CE"/>
        </patternFill>
      </fill>
    </dxf>
    <dxf>
      <numFmt numFmtId="165" formatCode="_-* #,##0_-;\-* #,##0_-;_-* &quot;-&quot;??_-;_-@_-"/>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2"/>
        <charset val="163"/>
        <scheme val="none"/>
      </font>
      <numFmt numFmtId="165"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2"/>
        <charset val="163"/>
        <scheme val="none"/>
      </font>
      <numFmt numFmtId="165"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2"/>
        <charset val="163"/>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2"/>
        <charset val="163"/>
        <scheme val="none"/>
      </font>
      <numFmt numFmtId="165"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Times New Roman"/>
        <family val="1"/>
        <scheme val="none"/>
      </font>
      <fill>
        <patternFill patternType="solid">
          <fgColor indexed="64"/>
          <bgColor theme="3" tint="0.74999237037263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4"/>
        <color theme="1"/>
        <name val="Times New Roman"/>
        <family val="1"/>
        <scheme val="none"/>
      </font>
      <numFmt numFmtId="165" formatCode="_-* #,##0_-;\-* #,##0_-;_-* &quot;-&quot;??_-;_-@_-"/>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numFmt numFmtId="165" formatCode="_-* #,##0_-;\-* #,##0_-;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numFmt numFmtId="165" formatCode="_-* #,##0_-;\-* #,##0_-;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numFmt numFmtId="165" formatCode="_-* #,##0_-;\-* #,##0_-;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numFmt numFmtId="165" formatCode="_-* #,##0_-;\-* #,##0_-;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numFmt numFmtId="165" formatCode="_-* #,##0_-;\-* #,##0_-;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scheme val="none"/>
      </font>
      <numFmt numFmtId="165" formatCode="_-* #,##0_-;\-* #,##0_-;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scheme val="none"/>
      </font>
      <numFmt numFmtId="165" formatCode="_-* #,##0_-;\-* #,##0_-;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scheme val="none"/>
      </font>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Times New Roman"/>
        <scheme val="none"/>
      </font>
      <fill>
        <patternFill patternType="solid">
          <fgColor indexed="64"/>
          <bgColor theme="3" tint="0.74999237037263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dxf>
    <dxf>
      <numFmt numFmtId="165" formatCode="_-* #,##0_-;\-* #,##0_-;_-* &quot;-&quot;??_-;_-@_-"/>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2"/>
        <charset val="163"/>
        <scheme val="none"/>
      </font>
      <numFmt numFmtId="165"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2"/>
        <charset val="163"/>
        <scheme val="none"/>
      </font>
      <numFmt numFmtId="165"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2"/>
        <charset val="163"/>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2"/>
        <charset val="163"/>
        <scheme val="none"/>
      </font>
      <numFmt numFmtId="165"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Times New Roman"/>
        <family val="1"/>
        <scheme val="none"/>
      </font>
      <fill>
        <patternFill patternType="solid">
          <fgColor indexed="64"/>
          <bgColor theme="3" tint="0.74999237037263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4"/>
        <color theme="1"/>
        <name val="Times New Roman"/>
        <family val="1"/>
        <scheme val="none"/>
      </font>
      <numFmt numFmtId="165" formatCode="_-* #,##0_-;\-* #,##0_-;_-* &quot;-&quot;??_-;_-@_-"/>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numFmt numFmtId="165" formatCode="_-* #,##0_-;\-* #,##0_-;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numFmt numFmtId="165" formatCode="_-* #,##0_-;\-* #,##0_-;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numFmt numFmtId="165" formatCode="_-* #,##0_-;\-* #,##0_-;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numFmt numFmtId="165" formatCode="_-* #,##0_-;\-* #,##0_-;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numFmt numFmtId="165" formatCode="_-* #,##0_-;\-* #,##0_-;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scheme val="none"/>
      </font>
      <numFmt numFmtId="165" formatCode="_-* #,##0_-;\-* #,##0_-;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scheme val="none"/>
      </font>
      <numFmt numFmtId="165" formatCode="_-* #,##0_-;\-* #,##0_-;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scheme val="none"/>
      </font>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Times New Roman"/>
        <scheme val="none"/>
      </font>
      <fill>
        <patternFill patternType="solid">
          <fgColor indexed="64"/>
          <bgColor theme="3" tint="0.74999237037263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charset val="163"/>
        <scheme val="minor"/>
      </font>
      <fill>
        <patternFill patternType="none">
          <bgColor auto="1"/>
        </patternFill>
      </fill>
      <border diagonalUp="0" diagonalDown="0" outline="0">
        <left style="thin">
          <color theme="9"/>
        </left>
        <right/>
        <top style="thin">
          <color theme="9"/>
        </top>
        <bottom/>
      </border>
    </dxf>
    <dxf>
      <font>
        <b val="0"/>
        <i val="0"/>
        <strike val="0"/>
        <condense val="0"/>
        <extend val="0"/>
        <outline val="0"/>
        <shadow val="0"/>
        <u val="none"/>
        <vertAlign val="baseline"/>
        <sz val="11"/>
        <color theme="1"/>
        <name val="Aptos Narrow"/>
        <family val="2"/>
        <charset val="163"/>
        <scheme val="minor"/>
      </font>
      <fill>
        <patternFill patternType="none">
          <bgColor auto="1"/>
        </patternFill>
      </fill>
      <border diagonalUp="0" diagonalDown="0" outline="0">
        <left style="thin">
          <color theme="9"/>
        </left>
        <right/>
        <top style="thin">
          <color theme="9"/>
        </top>
        <bottom/>
      </border>
    </dxf>
    <dxf>
      <border diagonalUp="0" diagonalDown="0">
        <left style="thin">
          <color theme="9"/>
        </left>
        <right/>
        <top style="medium">
          <color theme="9"/>
        </top>
        <bottom/>
        <vertical/>
        <horizontal/>
      </border>
    </dxf>
    <dxf>
      <font>
        <b val="0"/>
        <i val="0"/>
        <strike val="0"/>
        <condense val="0"/>
        <extend val="0"/>
        <outline val="0"/>
        <shadow val="0"/>
        <u val="none"/>
        <vertAlign val="baseline"/>
        <sz val="11"/>
        <color theme="1"/>
        <name val="Aptos Narrow"/>
        <family val="2"/>
        <charset val="163"/>
        <scheme val="minor"/>
      </font>
      <fill>
        <patternFill patternType="none">
          <bgColor auto="1"/>
        </patternFill>
      </fill>
      <border diagonalUp="0" diagonalDown="0" outline="0">
        <left style="thin">
          <color theme="9"/>
        </left>
        <right/>
        <top style="thin">
          <color theme="9"/>
        </top>
        <bottom/>
      </border>
    </dxf>
    <dxf>
      <font>
        <b val="0"/>
        <i val="0"/>
        <strike val="0"/>
        <condense val="0"/>
        <extend val="0"/>
        <outline val="0"/>
        <shadow val="0"/>
        <u val="none"/>
        <vertAlign val="baseline"/>
        <sz val="11"/>
        <color theme="1"/>
        <name val="Aptos Narrow"/>
        <family val="2"/>
        <charset val="163"/>
        <scheme val="minor"/>
      </font>
      <fill>
        <patternFill patternType="none">
          <bgColor auto="1"/>
        </patternFill>
      </fill>
      <border diagonalUp="0" diagonalDown="0" outline="0">
        <left style="thin">
          <color theme="9"/>
        </left>
        <right/>
        <top style="thin">
          <color theme="9"/>
        </top>
        <bottom/>
      </border>
    </dxf>
    <dxf>
      <font>
        <b val="0"/>
        <i val="0"/>
        <strike val="0"/>
        <condense val="0"/>
        <extend val="0"/>
        <outline val="0"/>
        <shadow val="0"/>
        <u val="none"/>
        <vertAlign val="baseline"/>
        <sz val="11"/>
        <color theme="1"/>
        <name val="Aptos Narrow"/>
        <family val="2"/>
        <charset val="163"/>
        <scheme val="minor"/>
      </font>
      <fill>
        <patternFill patternType="none">
          <fgColor indexed="64"/>
          <bgColor indexed="65"/>
        </patternFill>
      </fill>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Aptos Narrow"/>
        <family val="2"/>
        <charset val="163"/>
        <scheme val="minor"/>
      </font>
      <fill>
        <patternFill patternType="none">
          <fgColor theme="9" tint="0.79998168889431442"/>
          <bgColor auto="1"/>
        </patternFill>
      </fill>
      <border diagonalUp="0" diagonalDown="0" outline="0">
        <left/>
        <right/>
        <top style="medium">
          <color theme="9"/>
        </top>
        <bottom/>
      </border>
    </dxf>
    <dxf>
      <border outline="0">
        <left style="thin">
          <color theme="9"/>
        </left>
        <right style="thin">
          <color theme="9"/>
        </right>
        <top style="thin">
          <color theme="9" tint="0.39997558519241921"/>
        </top>
      </border>
    </dxf>
    <dxf>
      <font>
        <b val="0"/>
        <i val="0"/>
        <strike val="0"/>
        <condense val="0"/>
        <extend val="0"/>
        <outline val="0"/>
        <shadow val="0"/>
        <u val="none"/>
        <vertAlign val="baseline"/>
        <sz val="11"/>
        <color theme="1"/>
        <name val="Aptos Narrow"/>
        <family val="2"/>
        <charset val="163"/>
        <scheme val="minor"/>
      </font>
      <fill>
        <patternFill patternType="none">
          <bgColor auto="1"/>
        </patternFill>
      </fill>
    </dxf>
    <dxf>
      <font>
        <b/>
        <i val="0"/>
        <strike val="0"/>
        <condense val="0"/>
        <extend val="0"/>
        <outline val="0"/>
        <shadow val="0"/>
        <u val="none"/>
        <vertAlign val="baseline"/>
        <sz val="11"/>
        <color theme="0"/>
        <name val="Aptos Narrow"/>
        <family val="2"/>
        <charset val="163"/>
        <scheme val="minor"/>
      </font>
      <fill>
        <patternFill patternType="solid">
          <fgColor indexed="64"/>
          <bgColor rgb="FF00B050"/>
        </patternFill>
      </fill>
      <border diagonalUp="0" diagonalDown="0" outline="0">
        <left style="thin">
          <color theme="9"/>
        </left>
        <right style="thin">
          <color theme="9"/>
        </right>
        <top/>
        <bottom/>
      </border>
    </dxf>
  </dxfs>
  <tableStyles count="0" defaultTableStyle="TableStyleMedium2" defaultPivotStyle="PivotStyleLight16"/>
  <colors>
    <mruColors>
      <color rgb="FFFFFFCC"/>
      <color rgb="FF0000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226711</xdr:colOff>
      <xdr:row>0</xdr:row>
      <xdr:rowOff>64774</xdr:rowOff>
    </xdr:from>
    <xdr:to>
      <xdr:col>1</xdr:col>
      <xdr:colOff>1421387</xdr:colOff>
      <xdr:row>1</xdr:row>
      <xdr:rowOff>194323</xdr:rowOff>
    </xdr:to>
    <xdr:pic>
      <xdr:nvPicPr>
        <xdr:cNvPr id="2" name="Picture 1">
          <a:extLst>
            <a:ext uri="{FF2B5EF4-FFF2-40B4-BE49-F238E27FC236}">
              <a16:creationId xmlns:a16="http://schemas.microsoft.com/office/drawing/2014/main" id="{3E9071B2-42CF-4352-9678-CD46DDC442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6711" y="64774"/>
          <a:ext cx="1855076" cy="4216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226711</xdr:colOff>
      <xdr:row>0</xdr:row>
      <xdr:rowOff>64774</xdr:rowOff>
    </xdr:from>
    <xdr:to>
      <xdr:col>1</xdr:col>
      <xdr:colOff>1421387</xdr:colOff>
      <xdr:row>1</xdr:row>
      <xdr:rowOff>194323</xdr:rowOff>
    </xdr:to>
    <xdr:pic>
      <xdr:nvPicPr>
        <xdr:cNvPr id="2" name="Picture 1">
          <a:extLst>
            <a:ext uri="{FF2B5EF4-FFF2-40B4-BE49-F238E27FC236}">
              <a16:creationId xmlns:a16="http://schemas.microsoft.com/office/drawing/2014/main" id="{470BB570-8008-4DFC-AB0C-F4181524AC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6711" y="64774"/>
          <a:ext cx="1855076" cy="42164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202B5B6-274C-4373-9A42-D2957B0600C4}" name="Table7" displayName="Table7" ref="A5:G542" totalsRowShown="0" headerRowDxfId="79" dataDxfId="78" tableBorderDxfId="77">
  <autoFilter ref="A5:G542" xr:uid="{A202B5B6-274C-4373-9A42-D2957B0600C4}"/>
  <tableColumns count="7">
    <tableColumn id="1" xr3:uid="{C7BB71DA-1C71-4315-A6C4-715437FD4049}" name="STT" dataDxfId="76">
      <calculatedColumnFormula>ROWS($A$6:A6)</calculatedColumnFormula>
    </tableColumn>
    <tableColumn id="7" xr3:uid="{2B022628-C732-4C56-9234-5BF893349E74}" name="TRẠM" dataDxfId="75"/>
    <tableColumn id="2" xr3:uid="{6FE9897F-CE48-4F9B-B651-265F10AB7A9F}" name="MÃ NCC THỐNG NHẤT" dataDxfId="74"/>
    <tableColumn id="4" xr3:uid="{12CB528A-5690-4C74-BE9A-502E10ED59C8}" name="KHÁCH HÀNG" dataDxfId="73"/>
    <tableColumn id="3" xr3:uid="{DB2B3401-D292-4378-9252-39F485A7F21C}" name="PHÂN LOẠI" dataDxfId="72"/>
    <tableColumn id="5" xr3:uid="{FA45EA22-5BBD-4B6C-9271-DE00C0F12AF4}" name="TỈNH" dataDxfId="71"/>
    <tableColumn id="6" xr3:uid="{B0290B87-B228-40DE-84CE-2BF32390C3FD}" name="KHU VỰC" dataDxfId="70"/>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755902-20A0-49F0-8B7B-ECEEF549F3D0}" name="Table1" displayName="Table1" ref="A20:O34" totalsRowShown="0" headerRowDxfId="69" dataDxfId="67" headerRowBorderDxfId="68" tableBorderDxfId="66" totalsRowBorderDxfId="65">
  <tableColumns count="15">
    <tableColumn id="1" xr3:uid="{84F89AA0-489B-4191-9770-06B540E0AB10}" name="STT" dataDxfId="64"/>
    <tableColumn id="2" xr3:uid="{2D5C46A1-FFC8-4095-A17E-DB987E8D24F7}" name="Trạm" dataDxfId="63"/>
    <tableColumn id="3" xr3:uid="{5587BC8E-413A-41A8-9987-BC34CCB7E461}" name="Tên Nhà Cung Ứng" dataDxfId="62"/>
    <tableColumn id="4" xr3:uid="{656123DB-BD6E-4F8D-8713-D6347A431FCE}" name="Tỉnh" dataDxfId="61"/>
    <tableColumn id="5" xr3:uid="{45876296-A09F-4395-93AD-B8B625DB694B}" name="Chỉ Tiêu" dataDxfId="60" dataCellStyle="Comma"/>
    <tableColumn id="6" xr3:uid="{670BF3B9-9EA8-4567-AE66-BEFFF942D60A}" name="Sản Lượng" dataDxfId="59" dataCellStyle="Comma"/>
    <tableColumn id="7" xr3:uid="{A62B8B50-82A7-4959-A897-B09E5C97A1D4}" name="% Đạt" dataDxfId="58" dataCellStyle="Percent">
      <calculatedColumnFormula>F21/E21</calculatedColumnFormula>
    </tableColumn>
    <tableColumn id="8" xr3:uid="{9614031F-8212-4D17-B3A5-E72DA33D11D5}" name="Mức Thưởng Tháng" dataDxfId="57"/>
    <tableColumn id="9" xr3:uid="{95A378E7-F9CB-4BAF-8D9B-F0D3E964C4C0}" name="Giá Trị Thưởng Sản Lượng" dataDxfId="56" dataCellStyle="Comma">
      <calculatedColumnFormula>IF(F21&gt;=E21*95%,H21*F21,0)</calculatedColumnFormula>
    </tableColumn>
    <tableColumn id="10" xr3:uid="{EEB75B7C-E337-49A7-84A4-CAAD5FCFB15E}" name="Sản Lượng Hỗ Trợ Vận Chuyển" dataDxfId="55">
      <calculatedColumnFormula>Table1[[#This Row],[Sản Lượng]]</calculatedColumnFormula>
    </tableColumn>
    <tableColumn id="11" xr3:uid="{3AB82380-7924-4799-A517-A8294BBB80E7}" name="Mức Hỗ Trợ Vận Chuyển" dataDxfId="54"/>
    <tableColumn id="12" xr3:uid="{1416144A-FF87-4EBA-AAB1-7F21D016FDD2}" name="Giá Trị Hỗ Trợ Vận Chuyển" dataDxfId="53" dataCellStyle="Comma">
      <calculatedColumnFormula>K21*J21</calculatedColumnFormula>
    </tableColumn>
    <tableColumn id="13" xr3:uid="{E297F40F-7F96-4901-9A1D-F690DC29FB53}" name="Chi Phí Mặt Bằng" dataDxfId="52" dataCellStyle="Comma"/>
    <tableColumn id="14" xr3:uid="{54FC9F97-34D5-4C68-AC0A-EFBEE6DA1F9C}" name="Chi Phí Nhập Liệu" dataDxfId="51" dataCellStyle="Comma"/>
    <tableColumn id="15" xr3:uid="{33361C58-20A8-4CF0-A65F-C39D904CF6F1}" name="Tổng Thành Tiền Hỗ Trợ Chưa Thuế" dataDxfId="50" dataCellStyle="Comma">
      <calculatedColumnFormula>N21+M21+L21+I21</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887791-2AF3-4286-80A9-BC0CD2E3CC37}" name="Table2" displayName="Table2" ref="A6:K16" totalsRowShown="0" headerRowDxfId="49" headerRowBorderDxfId="48" tableBorderDxfId="47" totalsRowBorderDxfId="46">
  <tableColumns count="11">
    <tableColumn id="1" xr3:uid="{66795FD5-1DC4-4B78-AE39-1C34464EC37D}" name="STT" dataDxfId="45"/>
    <tableColumn id="2" xr3:uid="{548BE7D9-8220-4FD3-B929-661AE621C27A}" name="Trạm" dataDxfId="44"/>
    <tableColumn id="3" xr3:uid="{44B92D55-6DBF-4B29-9B0C-55614840F594}" name="Sản phẩm Mua" dataDxfId="43"/>
    <tableColumn id="4" xr3:uid="{D19F2914-885F-412F-97DE-943B3AC7CF25}" name="Sản Lượng Đầu Vào" dataDxfId="42" dataCellStyle="Comma"/>
    <tableColumn id="5" xr3:uid="{C07DD00F-5D65-48A9-A75A-BF6075478F35}" name="Tỷ trọng" dataDxfId="41" dataCellStyle="Percent"/>
    <tableColumn id="6" xr3:uid="{56A6C56E-A2F3-4D17-9646-1A39402E9035}" name="Giá Mua TB" dataDxfId="40" dataCellStyle="Comma"/>
    <tableColumn id="7" xr3:uid="{879C269B-E611-49C2-BB42-91F294E717F0}" name="Đơn Giá Thưởng" dataDxfId="39" dataCellStyle="Comma"/>
    <tableColumn id="8" xr3:uid="{4B9B1683-A564-41A5-BFEF-DEDEAB7867C5}" name="Tổng Giá Mua" dataDxfId="38"/>
    <tableColumn id="9" xr3:uid="{369FF4FD-CB9C-4742-B613-DDE9E1375E15}" name="Giá TGĐ Duyệt" dataDxfId="37"/>
    <tableColumn id="10" xr3:uid="{0A263F4D-E347-40E3-84FD-902577B57263}" name="Chênh Lệch" dataDxfId="36"/>
    <tableColumn id="11" xr3:uid="{3C36B548-94E0-4833-A64B-E1C2F9422006}" name="Giá mua TB bao gồm hỗ trợ" dataDxfId="35"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7F34168-5EDB-491F-BF11-ED5A57DA2A60}" name="Table19" displayName="Table19" ref="A20:O36" totalsRowShown="0" headerRowDxfId="34" dataDxfId="32" headerRowBorderDxfId="33" tableBorderDxfId="31" totalsRowBorderDxfId="30">
  <tableColumns count="15">
    <tableColumn id="1" xr3:uid="{7C0068E6-6DE7-4218-A47D-D35FD7F86620}" name="STT" dataDxfId="29"/>
    <tableColumn id="2" xr3:uid="{531687CD-962F-403D-81A8-1A46876640A1}" name="Trạm" dataDxfId="28"/>
    <tableColumn id="3" xr3:uid="{38AB2BFD-899A-491C-813C-B578124766CC}" name="Tên Nhà Cung Ứng" dataDxfId="27"/>
    <tableColumn id="4" xr3:uid="{7FACDBD8-4AD2-48AB-9958-6C5B0D89FD85}" name="Tỉnh" dataDxfId="26"/>
    <tableColumn id="5" xr3:uid="{33494FE1-B2CD-4CBE-B153-9ECF5CDAEA4F}" name="Chỉ Tiêu" dataDxfId="25" dataCellStyle="Comma"/>
    <tableColumn id="6" xr3:uid="{E4BEB130-E840-4E13-9170-C70B725E04EE}" name="Sản Lượng" dataDxfId="24" dataCellStyle="Comma"/>
    <tableColumn id="7" xr3:uid="{F6D51FE7-CECC-4290-8AA7-6E1BBC8DB68B}" name="% Đạt" dataDxfId="23" dataCellStyle="Percent">
      <calculatedColumnFormula>F21/E21</calculatedColumnFormula>
    </tableColumn>
    <tableColumn id="8" xr3:uid="{6064CC69-D81D-46E1-A88C-04C2F0DF6100}" name="Mức Thưởng Tháng" dataDxfId="22"/>
    <tableColumn id="9" xr3:uid="{EC0E80E4-F5FB-41F6-A4C0-BE476FD9847C}" name="Giá Trị Thưởng Sản Lượng" dataDxfId="21" dataCellStyle="Comma">
      <calculatedColumnFormula>IF(F21&gt;=E21*95%,H21*F21,0)</calculatedColumnFormula>
    </tableColumn>
    <tableColumn id="10" xr3:uid="{A2BA5A39-F161-4E8F-8390-87DE2FBD80C2}" name="Sản Lượng Hỗ Trợ Vận Chuyển" dataDxfId="20">
      <calculatedColumnFormula>Table19[[#This Row],[Sản Lượng]]</calculatedColumnFormula>
    </tableColumn>
    <tableColumn id="11" xr3:uid="{418084A1-D8FC-4D1E-886D-E0AF9148060B}" name="Mức Hỗ Trợ Vận Chuyển" dataDxfId="19"/>
    <tableColumn id="12" xr3:uid="{8DDC83E5-9F78-4F83-A485-307EACF048FC}" name="Giá Trị Hỗ Trợ Vận Chuyển" dataDxfId="18" dataCellStyle="Comma">
      <calculatedColumnFormula>K21*J21</calculatedColumnFormula>
    </tableColumn>
    <tableColumn id="13" xr3:uid="{FDD9E517-80DD-47AA-83BA-CD3CD382AC57}" name="Chi Phí Mặt Bằng" dataDxfId="17" dataCellStyle="Comma"/>
    <tableColumn id="14" xr3:uid="{46DE8BB1-717C-4C82-B47A-954C75346376}" name="Chi Phí Nhập Liệu" dataDxfId="16" dataCellStyle="Comma"/>
    <tableColumn id="15" xr3:uid="{57FAA3C6-0866-463E-ABED-0CE303B4A7DE}" name="Tổng Thành Tiền Hỗ Trợ Chưa Thuế" dataDxfId="15" dataCellStyle="Comma">
      <calculatedColumnFormula>N21+M21+L21+I21</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98E5F37-9E5B-4FC0-B5F1-D0CDDF900F44}" name="Table210" displayName="Table210" ref="A6:J16" totalsRowShown="0" headerRowDxfId="14" headerRowBorderDxfId="13" tableBorderDxfId="12" totalsRowBorderDxfId="11">
  <tableColumns count="10">
    <tableColumn id="1" xr3:uid="{FA80C53A-67BE-40A0-9A81-158ABD12157A}" name="STT" dataDxfId="10"/>
    <tableColumn id="2" xr3:uid="{2C69728D-96A6-4EF1-A19B-0BD1BEEF6C90}" name="Trạm" dataDxfId="9"/>
    <tableColumn id="3" xr3:uid="{F5435DE9-CDC1-4CCA-B95C-AADAC2099C54}" name="Sản phẩm Mua" dataDxfId="8"/>
    <tableColumn id="4" xr3:uid="{B51C2882-7098-4F82-AB06-167FB1CE8FA4}" name="Sản Lượng Đầu Vào" dataDxfId="7" dataCellStyle="Comma"/>
    <tableColumn id="5" xr3:uid="{A5AC3DB8-ACF0-4576-ADB5-85816E77C5B0}" name="Tỷ trọng" dataDxfId="6" dataCellStyle="Percent"/>
    <tableColumn id="6" xr3:uid="{6A3700B1-C8B8-42DC-9311-1FC38DEDD962}" name="Giá Mua TB" dataDxfId="5" dataCellStyle="Comma"/>
    <tableColumn id="7" xr3:uid="{223E9172-190B-4DFE-92ED-000782EF1F60}" name="Đơn Giá Thưởng" dataDxfId="4" dataCellStyle="Comma"/>
    <tableColumn id="8" xr3:uid="{CBC4FB16-B958-4DAB-BEDC-9C84B800E638}" name="Tổng Giá Mua" dataDxfId="3"/>
    <tableColumn id="9" xr3:uid="{9EADEC9B-F1A4-41BC-B12B-8C249B8911E3}" name="Giá TGĐ Duyệt" dataDxfId="2"/>
    <tableColumn id="10" xr3:uid="{46908027-EB6F-4605-A1FC-F5D92F096F26}" name="Chênh Lệch"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C2B72-9209-4D95-8EDE-72B3CF6B6AC1}">
  <dimension ref="B3:D8"/>
  <sheetViews>
    <sheetView showGridLines="0" workbookViewId="0">
      <selection activeCell="B4" sqref="B4"/>
    </sheetView>
  </sheetViews>
  <sheetFormatPr defaultRowHeight="14.5" x14ac:dyDescent="0.35"/>
  <cols>
    <col min="2" max="2" width="23.1796875" customWidth="1"/>
    <col min="3" max="3" width="13.26953125" customWidth="1"/>
    <col min="4" max="4" width="13.54296875" customWidth="1"/>
  </cols>
  <sheetData>
    <row r="3" spans="2:4" x14ac:dyDescent="0.35">
      <c r="B3" t="s">
        <v>97</v>
      </c>
      <c r="C3" t="s">
        <v>87</v>
      </c>
      <c r="D3" t="s">
        <v>98</v>
      </c>
    </row>
    <row r="4" spans="2:4" x14ac:dyDescent="0.35">
      <c r="B4" s="40" t="s">
        <v>99</v>
      </c>
    </row>
    <row r="5" spans="2:4" x14ac:dyDescent="0.35">
      <c r="B5" s="40" t="s">
        <v>1274</v>
      </c>
    </row>
    <row r="6" spans="2:4" x14ac:dyDescent="0.35">
      <c r="B6" s="40" t="s">
        <v>1277</v>
      </c>
    </row>
    <row r="7" spans="2:4" x14ac:dyDescent="0.35">
      <c r="B7" s="40" t="s">
        <v>1278</v>
      </c>
    </row>
    <row r="8" spans="2:4" x14ac:dyDescent="0.35">
      <c r="B8" s="40" t="s">
        <v>1279</v>
      </c>
    </row>
  </sheetData>
  <hyperlinks>
    <hyperlink ref="B4" location="'I. TỔNG HỢP'!A1" display="I. TỔNG HỢP" xr:uid="{DCCA5E78-E61B-4A45-A05B-BB96DABA59E0}"/>
    <hyperlink ref="B5" location="'1. CS Hỗ trợ vận chuyển'!A1" display="1. CS Hỗ trợ vận chuyển" xr:uid="{515760FF-63E9-47AD-A91F-7E5642E2268E}"/>
    <hyperlink ref="B6" location="'2.1. Thưởng NCC - ver1'!A1" display="2.1. Thưởng NCC - ver1" xr:uid="{74DEF606-379E-4BE5-8C54-61E09112CB71}"/>
    <hyperlink ref="B7" location="'2.2 Thưởng NCC - ver2'!A1" display="2.2. Thưởng NCC - ver2" xr:uid="{AF0B6685-0925-4B06-A1D7-E451E8FC6572}"/>
    <hyperlink ref="B8" location="'3. DS NCC Trạm'!A1" display="3. DS NCC đồng hành" xr:uid="{D1E30DBD-D02B-4718-82B0-A5AE155FD72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6196-6A84-4978-82FD-ADAD7690E696}">
  <sheetPr>
    <tabColor rgb="FF00B050"/>
  </sheetPr>
  <dimension ref="A1:I29"/>
  <sheetViews>
    <sheetView showGridLines="0" zoomScale="90" zoomScaleNormal="90" workbookViewId="0">
      <pane xSplit="3" ySplit="8" topLeftCell="D21" activePane="bottomRight" state="frozen"/>
      <selection pane="topRight" activeCell="D1" sqref="D1"/>
      <selection pane="bottomLeft" activeCell="A6" sqref="A6"/>
      <selection pane="bottomRight" activeCell="G29" sqref="G29"/>
    </sheetView>
  </sheetViews>
  <sheetFormatPr defaultRowHeight="14.5" x14ac:dyDescent="0.35"/>
  <cols>
    <col min="1" max="1" width="5.6328125" style="3" customWidth="1"/>
    <col min="2" max="2" width="30.6328125" style="2" customWidth="1"/>
    <col min="3" max="3" width="15.6328125" style="3" customWidth="1"/>
    <col min="4" max="6" width="12.6328125" style="1" customWidth="1"/>
    <col min="7" max="8" width="50.6328125" style="2" customWidth="1"/>
    <col min="9" max="16384" width="8.7265625" style="1"/>
  </cols>
  <sheetData>
    <row r="1" spans="1:9" x14ac:dyDescent="0.35">
      <c r="A1" s="41" t="s">
        <v>100</v>
      </c>
    </row>
    <row r="2" spans="1:9" ht="21" x14ac:dyDescent="0.35">
      <c r="B2" s="22" t="s">
        <v>88</v>
      </c>
      <c r="C2" s="5"/>
    </row>
    <row r="3" spans="1:9" ht="15" customHeight="1" x14ac:dyDescent="0.35">
      <c r="A3" s="22"/>
      <c r="B3" s="22"/>
      <c r="C3" s="5"/>
    </row>
    <row r="4" spans="1:9" ht="15" customHeight="1" x14ac:dyDescent="0.35">
      <c r="A4" s="28" t="s">
        <v>93</v>
      </c>
      <c r="B4" s="27" t="s">
        <v>96</v>
      </c>
      <c r="C4" s="5"/>
    </row>
    <row r="5" spans="1:9" ht="15" customHeight="1" x14ac:dyDescent="0.35">
      <c r="A5" s="28"/>
      <c r="B5" s="27" t="s">
        <v>1258</v>
      </c>
      <c r="C5" s="5"/>
    </row>
    <row r="6" spans="1:9" ht="15" customHeight="1" x14ac:dyDescent="0.35"/>
    <row r="7" spans="1:9" ht="15" customHeight="1" x14ac:dyDescent="0.35">
      <c r="A7" s="264" t="s">
        <v>19</v>
      </c>
      <c r="B7" s="264" t="s">
        <v>89</v>
      </c>
      <c r="C7" s="267" t="s">
        <v>69</v>
      </c>
      <c r="D7" s="266" t="s">
        <v>70</v>
      </c>
      <c r="E7" s="266"/>
      <c r="F7" s="266"/>
      <c r="G7" s="264" t="s">
        <v>166</v>
      </c>
      <c r="H7" s="264" t="s">
        <v>14</v>
      </c>
    </row>
    <row r="8" spans="1:9" s="4" customFormat="1" ht="15" customHeight="1" x14ac:dyDescent="0.35">
      <c r="A8" s="265"/>
      <c r="B8" s="265"/>
      <c r="C8" s="268"/>
      <c r="D8" s="26" t="s">
        <v>1</v>
      </c>
      <c r="E8" s="26" t="s">
        <v>2</v>
      </c>
      <c r="F8" s="26" t="s">
        <v>3</v>
      </c>
      <c r="G8" s="265"/>
      <c r="H8" s="265"/>
      <c r="I8" s="6"/>
    </row>
    <row r="9" spans="1:9" x14ac:dyDescent="0.35">
      <c r="A9" s="23">
        <v>1</v>
      </c>
      <c r="B9" s="36" t="s">
        <v>0</v>
      </c>
      <c r="C9" s="8" t="s">
        <v>71</v>
      </c>
      <c r="D9" s="9"/>
      <c r="E9" s="9"/>
      <c r="F9" s="9"/>
      <c r="G9" s="7"/>
      <c r="H9" s="7"/>
    </row>
    <row r="10" spans="1:9" ht="30" customHeight="1" x14ac:dyDescent="0.35">
      <c r="A10" s="17"/>
      <c r="B10" s="10" t="s">
        <v>72</v>
      </c>
      <c r="C10" s="11" t="s">
        <v>71</v>
      </c>
      <c r="D10" s="13">
        <v>9500</v>
      </c>
      <c r="E10" s="13">
        <v>9500</v>
      </c>
      <c r="F10" s="13">
        <v>9500</v>
      </c>
      <c r="G10" s="12" t="s">
        <v>228</v>
      </c>
      <c r="H10" s="12"/>
    </row>
    <row r="11" spans="1:9" x14ac:dyDescent="0.35">
      <c r="A11" s="17">
        <v>2</v>
      </c>
      <c r="B11" s="37" t="s">
        <v>1251</v>
      </c>
      <c r="C11" s="11"/>
      <c r="D11" s="13"/>
      <c r="E11" s="13"/>
      <c r="F11" s="13"/>
      <c r="G11" s="12"/>
      <c r="H11" s="12"/>
    </row>
    <row r="12" spans="1:9" ht="15" customHeight="1" x14ac:dyDescent="0.35">
      <c r="A12" s="17"/>
      <c r="B12" s="10" t="s">
        <v>73</v>
      </c>
      <c r="C12" s="11" t="s">
        <v>71</v>
      </c>
      <c r="D12" s="13">
        <f>D$10+5000</f>
        <v>14500</v>
      </c>
      <c r="E12" s="13">
        <f t="shared" ref="E12:F13" si="0">E$10+5000</f>
        <v>14500</v>
      </c>
      <c r="F12" s="13">
        <f t="shared" si="0"/>
        <v>14500</v>
      </c>
      <c r="G12" s="12" t="s">
        <v>81</v>
      </c>
      <c r="H12" s="12"/>
    </row>
    <row r="13" spans="1:9" ht="15" customHeight="1" x14ac:dyDescent="0.35">
      <c r="A13" s="17"/>
      <c r="B13" s="10" t="s">
        <v>75</v>
      </c>
      <c r="C13" s="11" t="s">
        <v>71</v>
      </c>
      <c r="D13" s="13">
        <f>D$10+5000</f>
        <v>14500</v>
      </c>
      <c r="E13" s="13">
        <f t="shared" si="0"/>
        <v>14500</v>
      </c>
      <c r="F13" s="13">
        <f t="shared" si="0"/>
        <v>14500</v>
      </c>
      <c r="G13" s="12" t="s">
        <v>81</v>
      </c>
      <c r="H13" s="12"/>
    </row>
    <row r="14" spans="1:9" ht="15" customHeight="1" x14ac:dyDescent="0.35">
      <c r="A14" s="17"/>
      <c r="B14" s="10" t="s">
        <v>74</v>
      </c>
      <c r="C14" s="11" t="s">
        <v>71</v>
      </c>
      <c r="D14" s="13">
        <f>D$10+3500</f>
        <v>13000</v>
      </c>
      <c r="E14" s="13">
        <f t="shared" ref="E14:F14" si="1">E$10+3500</f>
        <v>13000</v>
      </c>
      <c r="F14" s="13">
        <f t="shared" si="1"/>
        <v>13000</v>
      </c>
      <c r="G14" s="12" t="s">
        <v>82</v>
      </c>
      <c r="H14" s="12"/>
    </row>
    <row r="15" spans="1:9" ht="15" customHeight="1" x14ac:dyDescent="0.35">
      <c r="A15" s="17"/>
      <c r="B15" s="10" t="s">
        <v>76</v>
      </c>
      <c r="C15" s="11" t="s">
        <v>71</v>
      </c>
      <c r="D15" s="13">
        <f>D$10+2000</f>
        <v>11500</v>
      </c>
      <c r="E15" s="13">
        <f t="shared" ref="E15:F15" si="2">E$10+2000</f>
        <v>11500</v>
      </c>
      <c r="F15" s="13">
        <f t="shared" si="2"/>
        <v>11500</v>
      </c>
      <c r="G15" s="12" t="s">
        <v>83</v>
      </c>
      <c r="H15" s="12"/>
    </row>
    <row r="16" spans="1:9" ht="15" customHeight="1" x14ac:dyDescent="0.35">
      <c r="A16" s="17"/>
      <c r="B16" s="10" t="s">
        <v>77</v>
      </c>
      <c r="C16" s="11" t="s">
        <v>71</v>
      </c>
      <c r="D16" s="13">
        <f>D$10+6500</f>
        <v>16000</v>
      </c>
      <c r="E16" s="13">
        <f t="shared" ref="E16:F16" si="3">E$10+6500</f>
        <v>16000</v>
      </c>
      <c r="F16" s="13">
        <f t="shared" si="3"/>
        <v>16000</v>
      </c>
      <c r="G16" s="12" t="s">
        <v>84</v>
      </c>
      <c r="H16" s="12"/>
    </row>
    <row r="17" spans="1:8" ht="15" customHeight="1" x14ac:dyDescent="0.35">
      <c r="A17" s="17"/>
      <c r="B17" s="10" t="s">
        <v>80</v>
      </c>
      <c r="C17" s="11" t="s">
        <v>71</v>
      </c>
      <c r="D17" s="13">
        <f>D$10+1250</f>
        <v>10750</v>
      </c>
      <c r="E17" s="13">
        <f t="shared" ref="E17:F17" si="4">E$10+1250</f>
        <v>10750</v>
      </c>
      <c r="F17" s="13">
        <f t="shared" si="4"/>
        <v>10750</v>
      </c>
      <c r="G17" s="12" t="s">
        <v>86</v>
      </c>
      <c r="H17" s="12"/>
    </row>
    <row r="18" spans="1:8" ht="15" customHeight="1" x14ac:dyDescent="0.35">
      <c r="A18" s="17"/>
      <c r="B18" s="10" t="s">
        <v>78</v>
      </c>
      <c r="C18" s="11" t="s">
        <v>71</v>
      </c>
      <c r="D18" s="13">
        <f>D$10-3500</f>
        <v>6000</v>
      </c>
      <c r="E18" s="13">
        <f t="shared" ref="E18:F19" si="5">E$10-3500</f>
        <v>6000</v>
      </c>
      <c r="F18" s="13">
        <f t="shared" si="5"/>
        <v>6000</v>
      </c>
      <c r="G18" s="12" t="s">
        <v>85</v>
      </c>
      <c r="H18" s="12"/>
    </row>
    <row r="19" spans="1:8" ht="15" customHeight="1" x14ac:dyDescent="0.35">
      <c r="A19" s="17"/>
      <c r="B19" s="10" t="s">
        <v>79</v>
      </c>
      <c r="C19" s="11" t="s">
        <v>71</v>
      </c>
      <c r="D19" s="13">
        <f>D$10-3500</f>
        <v>6000</v>
      </c>
      <c r="E19" s="13">
        <f t="shared" si="5"/>
        <v>6000</v>
      </c>
      <c r="F19" s="13">
        <f t="shared" si="5"/>
        <v>6000</v>
      </c>
      <c r="G19" s="12" t="s">
        <v>85</v>
      </c>
      <c r="H19" s="12"/>
    </row>
    <row r="20" spans="1:8" ht="45" customHeight="1" x14ac:dyDescent="0.35">
      <c r="A20" s="11">
        <v>3.1</v>
      </c>
      <c r="B20" s="37" t="s">
        <v>1252</v>
      </c>
      <c r="C20" s="11" t="s">
        <v>1253</v>
      </c>
      <c r="D20" s="14">
        <v>150</v>
      </c>
      <c r="E20" s="14">
        <v>150</v>
      </c>
      <c r="F20" s="14">
        <v>150</v>
      </c>
      <c r="G20" s="12" t="s">
        <v>9</v>
      </c>
      <c r="H20" s="12" t="s">
        <v>1264</v>
      </c>
    </row>
    <row r="21" spans="1:8" ht="45" customHeight="1" x14ac:dyDescent="0.35">
      <c r="A21" s="11">
        <v>3.2</v>
      </c>
      <c r="B21" s="37" t="s">
        <v>1256</v>
      </c>
      <c r="C21" s="11" t="s">
        <v>1254</v>
      </c>
      <c r="D21" s="14">
        <v>50</v>
      </c>
      <c r="E21" s="14">
        <v>50</v>
      </c>
      <c r="F21" s="14">
        <v>50</v>
      </c>
      <c r="G21" s="12" t="s">
        <v>229</v>
      </c>
      <c r="H21" s="12" t="s">
        <v>1265</v>
      </c>
    </row>
    <row r="22" spans="1:8" ht="45" customHeight="1" x14ac:dyDescent="0.35">
      <c r="A22" s="11">
        <v>3.3</v>
      </c>
      <c r="B22" s="37" t="s">
        <v>1257</v>
      </c>
      <c r="C22" s="11" t="s">
        <v>1255</v>
      </c>
      <c r="D22" s="14">
        <v>50</v>
      </c>
      <c r="E22" s="14">
        <v>50</v>
      </c>
      <c r="F22" s="14">
        <v>50</v>
      </c>
      <c r="G22" s="12" t="s">
        <v>10</v>
      </c>
      <c r="H22" s="12" t="s">
        <v>1266</v>
      </c>
    </row>
    <row r="23" spans="1:8" ht="70" customHeight="1" x14ac:dyDescent="0.35">
      <c r="A23" s="17">
        <v>4</v>
      </c>
      <c r="B23" s="38" t="s">
        <v>4</v>
      </c>
      <c r="C23" s="11" t="s">
        <v>11</v>
      </c>
      <c r="D23" s="15"/>
      <c r="E23" s="14"/>
      <c r="F23" s="14"/>
      <c r="G23" s="12" t="s">
        <v>12</v>
      </c>
      <c r="H23" s="16" t="s">
        <v>1262</v>
      </c>
    </row>
    <row r="24" spans="1:8" ht="70" customHeight="1" x14ac:dyDescent="0.35">
      <c r="A24" s="17">
        <v>5</v>
      </c>
      <c r="B24" s="38" t="s">
        <v>5</v>
      </c>
      <c r="C24" s="11" t="s">
        <v>13</v>
      </c>
      <c r="D24" s="14">
        <v>1</v>
      </c>
      <c r="E24" s="14">
        <v>1</v>
      </c>
      <c r="F24" s="14">
        <v>1</v>
      </c>
      <c r="G24" s="12" t="s">
        <v>1259</v>
      </c>
      <c r="H24" s="16" t="s">
        <v>1263</v>
      </c>
    </row>
    <row r="25" spans="1:8" ht="65" customHeight="1" x14ac:dyDescent="0.35">
      <c r="A25" s="17">
        <v>6</v>
      </c>
      <c r="B25" s="38" t="s">
        <v>6</v>
      </c>
      <c r="C25" s="17" t="s">
        <v>15</v>
      </c>
      <c r="D25" s="18">
        <v>5000000</v>
      </c>
      <c r="E25" s="18">
        <v>5000000</v>
      </c>
      <c r="F25" s="18">
        <v>5000000</v>
      </c>
      <c r="G25" s="12" t="s">
        <v>1261</v>
      </c>
      <c r="H25" s="12" t="s">
        <v>1260</v>
      </c>
    </row>
    <row r="26" spans="1:8" ht="30" customHeight="1" x14ac:dyDescent="0.35">
      <c r="A26" s="17">
        <v>7</v>
      </c>
      <c r="B26" s="38" t="s">
        <v>164</v>
      </c>
      <c r="C26" s="17" t="s">
        <v>165</v>
      </c>
      <c r="D26" s="18"/>
      <c r="E26" s="18"/>
      <c r="F26" s="18"/>
      <c r="G26" s="12" t="s">
        <v>167</v>
      </c>
      <c r="H26" s="12" t="s">
        <v>1267</v>
      </c>
    </row>
    <row r="27" spans="1:8" ht="30" customHeight="1" x14ac:dyDescent="0.35">
      <c r="A27" s="17">
        <v>8</v>
      </c>
      <c r="B27" s="38" t="s">
        <v>168</v>
      </c>
      <c r="C27" s="17" t="s">
        <v>169</v>
      </c>
      <c r="D27" s="18"/>
      <c r="E27" s="18"/>
      <c r="F27" s="18"/>
      <c r="G27" s="12" t="s">
        <v>170</v>
      </c>
      <c r="H27" s="12" t="s">
        <v>1267</v>
      </c>
    </row>
    <row r="28" spans="1:8" ht="60" customHeight="1" x14ac:dyDescent="0.35">
      <c r="A28" s="17">
        <v>9</v>
      </c>
      <c r="B28" s="38" t="s">
        <v>16</v>
      </c>
      <c r="C28" s="11" t="s">
        <v>7</v>
      </c>
      <c r="D28" s="18">
        <v>20000000</v>
      </c>
      <c r="E28" s="18">
        <v>20000000</v>
      </c>
      <c r="F28" s="18">
        <v>20000000</v>
      </c>
      <c r="G28" s="12" t="s">
        <v>1268</v>
      </c>
      <c r="H28" s="12" t="s">
        <v>1269</v>
      </c>
    </row>
    <row r="29" spans="1:8" ht="30" customHeight="1" x14ac:dyDescent="0.35">
      <c r="A29" s="24">
        <v>10</v>
      </c>
      <c r="B29" s="39" t="s">
        <v>17</v>
      </c>
      <c r="C29" s="20" t="s">
        <v>8</v>
      </c>
      <c r="D29" s="21">
        <v>1000000</v>
      </c>
      <c r="E29" s="21">
        <v>1000000</v>
      </c>
      <c r="F29" s="21">
        <v>1000000</v>
      </c>
      <c r="G29" s="19" t="s">
        <v>18</v>
      </c>
      <c r="H29" s="19" t="s">
        <v>1270</v>
      </c>
    </row>
  </sheetData>
  <mergeCells count="6">
    <mergeCell ref="H7:H8"/>
    <mergeCell ref="A7:A8"/>
    <mergeCell ref="D7:F7"/>
    <mergeCell ref="B7:B8"/>
    <mergeCell ref="C7:C8"/>
    <mergeCell ref="G7:G8"/>
  </mergeCells>
  <hyperlinks>
    <hyperlink ref="A1" location="DM!B4" display="Quay lại" xr:uid="{5AF42082-4033-4D27-ABFE-0BCF9C71B20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1ACE6-3C64-4964-ADBA-E86A0E804F29}">
  <dimension ref="A1:H42"/>
  <sheetViews>
    <sheetView showGridLines="0" workbookViewId="0">
      <pane xSplit="5" ySplit="7" topLeftCell="F35" activePane="bottomRight" state="frozen"/>
      <selection pane="topRight" activeCell="F1" sqref="F1"/>
      <selection pane="bottomLeft" activeCell="A8" sqref="A8"/>
      <selection pane="bottomRight"/>
    </sheetView>
  </sheetViews>
  <sheetFormatPr defaultRowHeight="14.5" x14ac:dyDescent="0.35"/>
  <cols>
    <col min="1" max="1" width="5.90625" style="1" bestFit="1" customWidth="1"/>
    <col min="2" max="2" width="16.1796875" style="3" customWidth="1"/>
    <col min="3" max="4" width="15.6328125" style="3" customWidth="1"/>
    <col min="5" max="5" width="12.6328125" style="30" customWidth="1"/>
    <col min="6" max="8" width="13.6328125" style="3" customWidth="1"/>
    <col min="9" max="16384" width="8.7265625" style="1"/>
  </cols>
  <sheetData>
    <row r="1" spans="1:8" x14ac:dyDescent="0.35">
      <c r="A1" s="41" t="s">
        <v>100</v>
      </c>
    </row>
    <row r="2" spans="1:8" ht="21" x14ac:dyDescent="0.35">
      <c r="B2" s="22" t="s">
        <v>92</v>
      </c>
    </row>
    <row r="3" spans="1:8" ht="15" customHeight="1" x14ac:dyDescent="0.35"/>
    <row r="4" spans="1:8" ht="15" customHeight="1" x14ac:dyDescent="0.35">
      <c r="A4" s="28" t="s">
        <v>93</v>
      </c>
      <c r="B4" s="27" t="s">
        <v>94</v>
      </c>
    </row>
    <row r="5" spans="1:8" ht="15" customHeight="1" x14ac:dyDescent="0.35">
      <c r="B5" s="27" t="s">
        <v>95</v>
      </c>
    </row>
    <row r="6" spans="1:8" ht="15" customHeight="1" x14ac:dyDescent="0.35">
      <c r="B6" s="34"/>
    </row>
    <row r="7" spans="1:8" s="6" customFormat="1" ht="58" x14ac:dyDescent="0.35">
      <c r="A7" s="25" t="s">
        <v>19</v>
      </c>
      <c r="B7" s="25" t="s">
        <v>91</v>
      </c>
      <c r="C7" s="25" t="s">
        <v>20</v>
      </c>
      <c r="D7" s="25" t="s">
        <v>21</v>
      </c>
      <c r="E7" s="167" t="s">
        <v>123</v>
      </c>
      <c r="F7" s="29" t="s">
        <v>22</v>
      </c>
      <c r="G7" s="29" t="s">
        <v>90</v>
      </c>
      <c r="H7" s="204" t="s">
        <v>26</v>
      </c>
    </row>
    <row r="8" spans="1:8" x14ac:dyDescent="0.35">
      <c r="A8" s="35">
        <f>ROWS($A$8:A8)</f>
        <v>1</v>
      </c>
      <c r="B8" s="35" t="s">
        <v>23</v>
      </c>
      <c r="C8" s="35" t="s">
        <v>24</v>
      </c>
      <c r="D8" s="35" t="s">
        <v>24</v>
      </c>
      <c r="E8" s="31" t="s">
        <v>25</v>
      </c>
      <c r="F8" s="35">
        <v>1020</v>
      </c>
      <c r="G8" s="35">
        <v>1000</v>
      </c>
      <c r="H8" s="35">
        <v>500</v>
      </c>
    </row>
    <row r="9" spans="1:8" x14ac:dyDescent="0.35">
      <c r="A9" s="11">
        <f>ROWS($A$8:A9)</f>
        <v>2</v>
      </c>
      <c r="B9" s="11" t="s">
        <v>23</v>
      </c>
      <c r="C9" s="11" t="s">
        <v>24</v>
      </c>
      <c r="D9" s="11" t="s">
        <v>27</v>
      </c>
      <c r="E9" s="32" t="s">
        <v>25</v>
      </c>
      <c r="F9" s="11">
        <v>1120</v>
      </c>
      <c r="G9" s="11">
        <v>1000</v>
      </c>
      <c r="H9" s="11">
        <v>500</v>
      </c>
    </row>
    <row r="10" spans="1:8" x14ac:dyDescent="0.35">
      <c r="A10" s="11">
        <f>ROWS($A$8:A10)</f>
        <v>3</v>
      </c>
      <c r="B10" s="11" t="s">
        <v>23</v>
      </c>
      <c r="C10" s="11" t="s">
        <v>28</v>
      </c>
      <c r="D10" s="11" t="s">
        <v>28</v>
      </c>
      <c r="E10" s="32" t="s">
        <v>25</v>
      </c>
      <c r="F10" s="11">
        <v>944</v>
      </c>
      <c r="G10" s="11">
        <v>900</v>
      </c>
      <c r="H10" s="11">
        <v>500</v>
      </c>
    </row>
    <row r="11" spans="1:8" x14ac:dyDescent="0.35">
      <c r="A11" s="11">
        <f>ROWS($A$8:A11)</f>
        <v>4</v>
      </c>
      <c r="B11" s="11" t="s">
        <v>23</v>
      </c>
      <c r="C11" s="11" t="s">
        <v>29</v>
      </c>
      <c r="D11" s="11" t="s">
        <v>29</v>
      </c>
      <c r="E11" s="32" t="s">
        <v>25</v>
      </c>
      <c r="F11" s="11">
        <v>861</v>
      </c>
      <c r="G11" s="11">
        <v>800</v>
      </c>
      <c r="H11" s="11">
        <v>500</v>
      </c>
    </row>
    <row r="12" spans="1:8" x14ac:dyDescent="0.35">
      <c r="A12" s="11">
        <f>ROWS($A$8:A12)</f>
        <v>5</v>
      </c>
      <c r="B12" s="11" t="s">
        <v>23</v>
      </c>
      <c r="C12" s="11" t="s">
        <v>29</v>
      </c>
      <c r="D12" s="11" t="s">
        <v>45</v>
      </c>
      <c r="E12" s="32" t="s">
        <v>25</v>
      </c>
      <c r="F12" s="11">
        <v>838</v>
      </c>
      <c r="G12" s="11">
        <v>800</v>
      </c>
      <c r="H12" s="11">
        <v>500</v>
      </c>
    </row>
    <row r="13" spans="1:8" x14ac:dyDescent="0.35">
      <c r="A13" s="11">
        <f>ROWS($A$8:A13)</f>
        <v>6</v>
      </c>
      <c r="B13" s="11" t="s">
        <v>23</v>
      </c>
      <c r="C13" s="11" t="s">
        <v>30</v>
      </c>
      <c r="D13" s="11" t="s">
        <v>30</v>
      </c>
      <c r="E13" s="32" t="s">
        <v>25</v>
      </c>
      <c r="F13" s="11">
        <v>715</v>
      </c>
      <c r="G13" s="11">
        <v>700</v>
      </c>
      <c r="H13" s="11">
        <v>500</v>
      </c>
    </row>
    <row r="14" spans="1:8" x14ac:dyDescent="0.35">
      <c r="A14" s="11">
        <f>ROWS($A$8:A14)</f>
        <v>7</v>
      </c>
      <c r="B14" s="11" t="s">
        <v>23</v>
      </c>
      <c r="C14" s="11" t="s">
        <v>30</v>
      </c>
      <c r="D14" s="11" t="s">
        <v>46</v>
      </c>
      <c r="E14" s="32" t="s">
        <v>25</v>
      </c>
      <c r="F14" s="11">
        <v>709</v>
      </c>
      <c r="G14" s="11">
        <v>800</v>
      </c>
      <c r="H14" s="11">
        <v>500</v>
      </c>
    </row>
    <row r="15" spans="1:8" x14ac:dyDescent="0.35">
      <c r="A15" s="11">
        <f>ROWS($A$8:A15)</f>
        <v>8</v>
      </c>
      <c r="B15" s="11" t="s">
        <v>66</v>
      </c>
      <c r="C15" s="11" t="s">
        <v>31</v>
      </c>
      <c r="D15" s="11" t="s">
        <v>31</v>
      </c>
      <c r="E15" s="32" t="s">
        <v>25</v>
      </c>
      <c r="F15" s="11">
        <v>336</v>
      </c>
      <c r="G15" s="11">
        <v>500</v>
      </c>
      <c r="H15" s="11">
        <v>400</v>
      </c>
    </row>
    <row r="16" spans="1:8" x14ac:dyDescent="0.35">
      <c r="A16" s="11">
        <f>ROWS($A$8:A16)</f>
        <v>9</v>
      </c>
      <c r="B16" s="11" t="s">
        <v>66</v>
      </c>
      <c r="C16" s="11" t="s">
        <v>31</v>
      </c>
      <c r="D16" s="11" t="s">
        <v>47</v>
      </c>
      <c r="E16" s="32" t="s">
        <v>25</v>
      </c>
      <c r="F16" s="11">
        <v>262</v>
      </c>
      <c r="G16" s="11">
        <v>400</v>
      </c>
      <c r="H16" s="11">
        <v>400</v>
      </c>
    </row>
    <row r="17" spans="1:8" x14ac:dyDescent="0.35">
      <c r="A17" s="11">
        <f>ROWS($A$8:A17)</f>
        <v>10</v>
      </c>
      <c r="B17" s="11" t="s">
        <v>66</v>
      </c>
      <c r="C17" s="11" t="s">
        <v>32</v>
      </c>
      <c r="D17" s="11" t="s">
        <v>32</v>
      </c>
      <c r="E17" s="32" t="s">
        <v>25</v>
      </c>
      <c r="F17" s="11">
        <v>321</v>
      </c>
      <c r="G17" s="11">
        <v>600</v>
      </c>
      <c r="H17" s="11">
        <v>400</v>
      </c>
    </row>
    <row r="18" spans="1:8" x14ac:dyDescent="0.35">
      <c r="A18" s="11">
        <f>ROWS($A$8:A18)</f>
        <v>11</v>
      </c>
      <c r="B18" s="11" t="s">
        <v>66</v>
      </c>
      <c r="C18" s="11" t="s">
        <v>32</v>
      </c>
      <c r="D18" s="11" t="s">
        <v>48</v>
      </c>
      <c r="E18" s="32" t="s">
        <v>25</v>
      </c>
      <c r="F18" s="11">
        <v>445</v>
      </c>
      <c r="G18" s="11">
        <v>600</v>
      </c>
      <c r="H18" s="11">
        <v>400</v>
      </c>
    </row>
    <row r="19" spans="1:8" x14ac:dyDescent="0.35">
      <c r="A19" s="11">
        <f>ROWS($A$8:A19)</f>
        <v>12</v>
      </c>
      <c r="B19" s="11" t="s">
        <v>66</v>
      </c>
      <c r="C19" s="11" t="s">
        <v>33</v>
      </c>
      <c r="D19" s="11" t="s">
        <v>33</v>
      </c>
      <c r="E19" s="32" t="s">
        <v>25</v>
      </c>
      <c r="F19" s="11">
        <v>232</v>
      </c>
      <c r="G19" s="11">
        <v>500</v>
      </c>
      <c r="H19" s="11">
        <v>400</v>
      </c>
    </row>
    <row r="20" spans="1:8" x14ac:dyDescent="0.35">
      <c r="A20" s="11">
        <f>ROWS($A$8:A20)</f>
        <v>13</v>
      </c>
      <c r="B20" s="11" t="s">
        <v>66</v>
      </c>
      <c r="C20" s="11" t="s">
        <v>33</v>
      </c>
      <c r="D20" s="11" t="s">
        <v>49</v>
      </c>
      <c r="E20" s="32" t="s">
        <v>25</v>
      </c>
      <c r="F20" s="11">
        <v>234</v>
      </c>
      <c r="G20" s="11">
        <v>500</v>
      </c>
      <c r="H20" s="11">
        <v>400</v>
      </c>
    </row>
    <row r="21" spans="1:8" x14ac:dyDescent="0.35">
      <c r="A21" s="11">
        <f>ROWS($A$8:A21)</f>
        <v>14</v>
      </c>
      <c r="B21" s="11" t="s">
        <v>66</v>
      </c>
      <c r="C21" s="11" t="s">
        <v>33</v>
      </c>
      <c r="D21" s="11" t="s">
        <v>50</v>
      </c>
      <c r="E21" s="32" t="s">
        <v>25</v>
      </c>
      <c r="F21" s="11">
        <v>126</v>
      </c>
      <c r="G21" s="11">
        <v>300</v>
      </c>
      <c r="H21" s="11">
        <v>300</v>
      </c>
    </row>
    <row r="22" spans="1:8" x14ac:dyDescent="0.35">
      <c r="A22" s="11">
        <f>ROWS($A$8:A22)</f>
        <v>15</v>
      </c>
      <c r="B22" s="11" t="s">
        <v>66</v>
      </c>
      <c r="C22" s="11" t="s">
        <v>34</v>
      </c>
      <c r="D22" s="11" t="s">
        <v>34</v>
      </c>
      <c r="E22" s="32" t="s">
        <v>25</v>
      </c>
      <c r="F22" s="11">
        <v>635</v>
      </c>
      <c r="G22" s="11">
        <v>800</v>
      </c>
      <c r="H22" s="11">
        <v>500</v>
      </c>
    </row>
    <row r="23" spans="1:8" x14ac:dyDescent="0.35">
      <c r="A23" s="11">
        <f>ROWS($A$8:A23)</f>
        <v>16</v>
      </c>
      <c r="B23" s="11" t="s">
        <v>66</v>
      </c>
      <c r="C23" s="11" t="s">
        <v>34</v>
      </c>
      <c r="D23" s="11" t="s">
        <v>51</v>
      </c>
      <c r="E23" s="32" t="s">
        <v>25</v>
      </c>
      <c r="F23" s="11">
        <v>542</v>
      </c>
      <c r="G23" s="11">
        <v>600</v>
      </c>
      <c r="H23" s="11">
        <v>500</v>
      </c>
    </row>
    <row r="24" spans="1:8" x14ac:dyDescent="0.35">
      <c r="A24" s="11">
        <f>ROWS($A$8:A24)</f>
        <v>17</v>
      </c>
      <c r="B24" s="11" t="s">
        <v>66</v>
      </c>
      <c r="C24" s="11" t="s">
        <v>35</v>
      </c>
      <c r="D24" s="11" t="s">
        <v>35</v>
      </c>
      <c r="E24" s="32" t="s">
        <v>25</v>
      </c>
      <c r="F24" s="11">
        <v>73</v>
      </c>
      <c r="G24" s="11">
        <v>0</v>
      </c>
      <c r="H24" s="11">
        <v>0</v>
      </c>
    </row>
    <row r="25" spans="1:8" x14ac:dyDescent="0.35">
      <c r="A25" s="11">
        <f>ROWS($A$8:A25)</f>
        <v>18</v>
      </c>
      <c r="B25" s="11" t="s">
        <v>66</v>
      </c>
      <c r="C25" s="11" t="s">
        <v>35</v>
      </c>
      <c r="D25" s="11" t="s">
        <v>52</v>
      </c>
      <c r="E25" s="32" t="s">
        <v>25</v>
      </c>
      <c r="F25" s="11">
        <v>164</v>
      </c>
      <c r="G25" s="11">
        <v>300</v>
      </c>
      <c r="H25" s="11">
        <v>300</v>
      </c>
    </row>
    <row r="26" spans="1:8" x14ac:dyDescent="0.35">
      <c r="A26" s="11">
        <f>ROWS($A$8:A26)</f>
        <v>19</v>
      </c>
      <c r="B26" s="11" t="s">
        <v>67</v>
      </c>
      <c r="C26" s="11" t="s">
        <v>36</v>
      </c>
      <c r="D26" s="11" t="s">
        <v>36</v>
      </c>
      <c r="E26" s="32" t="s">
        <v>64</v>
      </c>
      <c r="F26" s="11">
        <v>120</v>
      </c>
      <c r="G26" s="11">
        <v>300</v>
      </c>
      <c r="H26" s="11">
        <v>300</v>
      </c>
    </row>
    <row r="27" spans="1:8" x14ac:dyDescent="0.35">
      <c r="A27" s="11">
        <f>ROWS($A$8:A27)</f>
        <v>20</v>
      </c>
      <c r="B27" s="11" t="s">
        <v>67</v>
      </c>
      <c r="C27" s="11" t="s">
        <v>36</v>
      </c>
      <c r="D27" s="11" t="s">
        <v>53</v>
      </c>
      <c r="E27" s="32" t="s">
        <v>64</v>
      </c>
      <c r="F27" s="11">
        <v>120</v>
      </c>
      <c r="G27" s="11">
        <v>300</v>
      </c>
      <c r="H27" s="11">
        <v>300</v>
      </c>
    </row>
    <row r="28" spans="1:8" x14ac:dyDescent="0.35">
      <c r="A28" s="11">
        <f>ROWS($A$8:A28)</f>
        <v>21</v>
      </c>
      <c r="B28" s="11" t="s">
        <v>67</v>
      </c>
      <c r="C28" s="11" t="s">
        <v>37</v>
      </c>
      <c r="D28" s="11" t="s">
        <v>37</v>
      </c>
      <c r="E28" s="32" t="s">
        <v>65</v>
      </c>
      <c r="F28" s="11">
        <v>60</v>
      </c>
      <c r="G28" s="11">
        <v>200</v>
      </c>
      <c r="H28" s="11">
        <v>200</v>
      </c>
    </row>
    <row r="29" spans="1:8" x14ac:dyDescent="0.35">
      <c r="A29" s="11">
        <f>ROWS($A$8:A29)</f>
        <v>22</v>
      </c>
      <c r="B29" s="11" t="s">
        <v>67</v>
      </c>
      <c r="C29" s="11" t="s">
        <v>37</v>
      </c>
      <c r="D29" s="11" t="s">
        <v>54</v>
      </c>
      <c r="E29" s="32" t="s">
        <v>64</v>
      </c>
      <c r="F29" s="11">
        <v>63</v>
      </c>
      <c r="G29" s="11">
        <v>200</v>
      </c>
      <c r="H29" s="11">
        <v>200</v>
      </c>
    </row>
    <row r="30" spans="1:8" x14ac:dyDescent="0.35">
      <c r="A30" s="11">
        <f>ROWS($A$8:A30)</f>
        <v>23</v>
      </c>
      <c r="B30" s="11" t="s">
        <v>68</v>
      </c>
      <c r="C30" s="11" t="s">
        <v>38</v>
      </c>
      <c r="D30" s="11" t="s">
        <v>38</v>
      </c>
      <c r="E30" s="32" t="s">
        <v>65</v>
      </c>
      <c r="F30" s="11">
        <v>60</v>
      </c>
      <c r="G30" s="11">
        <v>200</v>
      </c>
      <c r="H30" s="11">
        <v>200</v>
      </c>
    </row>
    <row r="31" spans="1:8" x14ac:dyDescent="0.35">
      <c r="A31" s="11">
        <f>ROWS($A$8:A31)</f>
        <v>24</v>
      </c>
      <c r="B31" s="11" t="s">
        <v>68</v>
      </c>
      <c r="C31" s="11" t="s">
        <v>38</v>
      </c>
      <c r="D31" s="11" t="s">
        <v>55</v>
      </c>
      <c r="E31" s="32" t="s">
        <v>65</v>
      </c>
      <c r="F31" s="11">
        <v>82</v>
      </c>
      <c r="G31" s="11">
        <v>200</v>
      </c>
      <c r="H31" s="11">
        <v>200</v>
      </c>
    </row>
    <row r="32" spans="1:8" x14ac:dyDescent="0.35">
      <c r="A32" s="11">
        <f>ROWS($A$8:A32)</f>
        <v>25</v>
      </c>
      <c r="B32" s="11" t="s">
        <v>68</v>
      </c>
      <c r="C32" s="11" t="s">
        <v>38</v>
      </c>
      <c r="D32" s="11" t="s">
        <v>56</v>
      </c>
      <c r="E32" s="32" t="s">
        <v>65</v>
      </c>
      <c r="F32" s="11">
        <v>93</v>
      </c>
      <c r="G32" s="11">
        <v>200</v>
      </c>
      <c r="H32" s="11">
        <v>200</v>
      </c>
    </row>
    <row r="33" spans="1:8" x14ac:dyDescent="0.35">
      <c r="A33" s="11">
        <f>ROWS($A$8:A33)</f>
        <v>26</v>
      </c>
      <c r="B33" s="11" t="s">
        <v>68</v>
      </c>
      <c r="C33" s="11" t="s">
        <v>39</v>
      </c>
      <c r="D33" s="11" t="s">
        <v>39</v>
      </c>
      <c r="E33" s="32" t="s">
        <v>65</v>
      </c>
      <c r="F33" s="11">
        <v>6</v>
      </c>
      <c r="G33" s="11">
        <v>0</v>
      </c>
      <c r="H33" s="11">
        <v>0</v>
      </c>
    </row>
    <row r="34" spans="1:8" x14ac:dyDescent="0.35">
      <c r="A34" s="11">
        <f>ROWS($A$8:A34)</f>
        <v>27</v>
      </c>
      <c r="B34" s="11" t="s">
        <v>68</v>
      </c>
      <c r="C34" s="11" t="s">
        <v>39</v>
      </c>
      <c r="D34" s="11" t="s">
        <v>57</v>
      </c>
      <c r="E34" s="32" t="s">
        <v>64</v>
      </c>
      <c r="F34" s="11">
        <v>40</v>
      </c>
      <c r="G34" s="11">
        <v>0</v>
      </c>
      <c r="H34" s="11">
        <v>0</v>
      </c>
    </row>
    <row r="35" spans="1:8" x14ac:dyDescent="0.35">
      <c r="A35" s="11">
        <f>ROWS($A$8:A35)</f>
        <v>28</v>
      </c>
      <c r="B35" s="11" t="s">
        <v>68</v>
      </c>
      <c r="C35" s="11" t="s">
        <v>39</v>
      </c>
      <c r="D35" s="11" t="s">
        <v>58</v>
      </c>
      <c r="E35" s="32" t="s">
        <v>65</v>
      </c>
      <c r="F35" s="11">
        <v>70</v>
      </c>
      <c r="G35" s="11">
        <v>200</v>
      </c>
      <c r="H35" s="11">
        <v>200</v>
      </c>
    </row>
    <row r="36" spans="1:8" x14ac:dyDescent="0.35">
      <c r="A36" s="11">
        <f>ROWS($A$8:A36)</f>
        <v>29</v>
      </c>
      <c r="B36" s="11" t="s">
        <v>68</v>
      </c>
      <c r="C36" s="11" t="s">
        <v>40</v>
      </c>
      <c r="D36" s="11" t="s">
        <v>40</v>
      </c>
      <c r="E36" s="32" t="s">
        <v>64</v>
      </c>
      <c r="F36" s="11">
        <v>177</v>
      </c>
      <c r="G36" s="11">
        <v>300</v>
      </c>
      <c r="H36" s="11">
        <v>300</v>
      </c>
    </row>
    <row r="37" spans="1:8" x14ac:dyDescent="0.35">
      <c r="A37" s="11">
        <f>ROWS($A$8:A37)</f>
        <v>30</v>
      </c>
      <c r="B37" s="11" t="s">
        <v>68</v>
      </c>
      <c r="C37" s="11" t="s">
        <v>40</v>
      </c>
      <c r="D37" s="11" t="s">
        <v>59</v>
      </c>
      <c r="E37" s="32" t="s">
        <v>65</v>
      </c>
      <c r="F37" s="11">
        <v>212</v>
      </c>
      <c r="G37" s="11">
        <v>400</v>
      </c>
      <c r="H37" s="11">
        <v>400</v>
      </c>
    </row>
    <row r="38" spans="1:8" x14ac:dyDescent="0.35">
      <c r="A38" s="11">
        <f>ROWS($A$8:A38)</f>
        <v>31</v>
      </c>
      <c r="B38" s="11" t="s">
        <v>68</v>
      </c>
      <c r="C38" s="11" t="s">
        <v>41</v>
      </c>
      <c r="D38" s="11" t="s">
        <v>60</v>
      </c>
      <c r="E38" s="32" t="s">
        <v>65</v>
      </c>
      <c r="F38" s="11">
        <v>140</v>
      </c>
      <c r="G38" s="11">
        <v>400</v>
      </c>
      <c r="H38" s="11">
        <v>400</v>
      </c>
    </row>
    <row r="39" spans="1:8" x14ac:dyDescent="0.35">
      <c r="A39" s="11">
        <f>ROWS($A$8:A39)</f>
        <v>32</v>
      </c>
      <c r="B39" s="11" t="s">
        <v>68</v>
      </c>
      <c r="C39" s="11" t="s">
        <v>41</v>
      </c>
      <c r="D39" s="11" t="s">
        <v>41</v>
      </c>
      <c r="E39" s="32" t="s">
        <v>65</v>
      </c>
      <c r="F39" s="11">
        <v>177</v>
      </c>
      <c r="G39" s="11">
        <v>400</v>
      </c>
      <c r="H39" s="11">
        <v>400</v>
      </c>
    </row>
    <row r="40" spans="1:8" x14ac:dyDescent="0.35">
      <c r="A40" s="11">
        <f>ROWS($A$8:A40)</f>
        <v>33</v>
      </c>
      <c r="B40" s="11" t="s">
        <v>61</v>
      </c>
      <c r="C40" s="11" t="s">
        <v>42</v>
      </c>
      <c r="D40" s="11" t="s">
        <v>61</v>
      </c>
      <c r="E40" s="32" t="s">
        <v>64</v>
      </c>
      <c r="F40" s="11">
        <v>70</v>
      </c>
      <c r="G40" s="11">
        <v>250</v>
      </c>
      <c r="H40" s="11">
        <v>200</v>
      </c>
    </row>
    <row r="41" spans="1:8" x14ac:dyDescent="0.35">
      <c r="A41" s="11">
        <f>ROWS($A$8:A41)</f>
        <v>34</v>
      </c>
      <c r="B41" s="11" t="s">
        <v>61</v>
      </c>
      <c r="C41" s="11" t="s">
        <v>43</v>
      </c>
      <c r="D41" s="11" t="s">
        <v>62</v>
      </c>
      <c r="E41" s="32" t="s">
        <v>25</v>
      </c>
      <c r="F41" s="11">
        <v>80</v>
      </c>
      <c r="G41" s="11">
        <v>300</v>
      </c>
      <c r="H41" s="11">
        <v>200</v>
      </c>
    </row>
    <row r="42" spans="1:8" x14ac:dyDescent="0.35">
      <c r="A42" s="20">
        <f>ROWS($A$8:A42)</f>
        <v>35</v>
      </c>
      <c r="B42" s="20" t="s">
        <v>61</v>
      </c>
      <c r="C42" s="20" t="s">
        <v>44</v>
      </c>
      <c r="D42" s="20" t="s">
        <v>63</v>
      </c>
      <c r="E42" s="33" t="s">
        <v>25</v>
      </c>
      <c r="F42" s="20">
        <v>100</v>
      </c>
      <c r="G42" s="20">
        <v>300</v>
      </c>
      <c r="H42" s="20">
        <v>300</v>
      </c>
    </row>
  </sheetData>
  <autoFilter ref="A7:H42" xr:uid="{73A1ACE6-3C64-4964-ADBA-E86A0E804F29}"/>
  <hyperlinks>
    <hyperlink ref="A1" location="DM!B5" display="Quay lại" xr:uid="{98E46E8F-F003-418A-9305-2382A8D0912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B1175-8006-4AE0-902F-E96E5E29CD54}">
  <dimension ref="A1:CR27"/>
  <sheetViews>
    <sheetView showGridLines="0" zoomScale="90" zoomScaleNormal="90" workbookViewId="0">
      <pane xSplit="5" ySplit="6" topLeftCell="BP10" activePane="bottomRight" state="frozen"/>
      <selection pane="topRight" activeCell="F1" sqref="F1"/>
      <selection pane="bottomLeft" activeCell="A6" sqref="A6"/>
      <selection pane="bottomRight" activeCell="BU19" sqref="BU19:BW19"/>
    </sheetView>
  </sheetViews>
  <sheetFormatPr defaultRowHeight="14.5" outlineLevelCol="1" x14ac:dyDescent="0.35"/>
  <cols>
    <col min="1" max="1" width="5.6328125" style="1" customWidth="1"/>
    <col min="2" max="2" width="10.6328125" style="1" customWidth="1"/>
    <col min="3" max="3" width="19.36328125" style="1" customWidth="1" outlineLevel="1"/>
    <col min="4" max="4" width="32.6328125" style="1" customWidth="1"/>
    <col min="5" max="5" width="10.6328125" style="1" customWidth="1"/>
    <col min="6" max="8" width="10.6328125" style="43" customWidth="1"/>
    <col min="9" max="17" width="10.6328125" style="43" hidden="1" customWidth="1" outlineLevel="1"/>
    <col min="18" max="18" width="10.6328125" style="43" customWidth="1" collapsed="1"/>
    <col min="19" max="20" width="10.6328125" style="43" customWidth="1"/>
    <col min="21" max="29" width="10.6328125" style="43" hidden="1" customWidth="1" outlineLevel="1"/>
    <col min="30" max="30" width="10.6328125" style="43" customWidth="1" collapsed="1"/>
    <col min="31" max="32" width="10.6328125" style="43" customWidth="1"/>
    <col min="33" max="44" width="10.6328125" style="43" hidden="1" customWidth="1" outlineLevel="1"/>
    <col min="45" max="45" width="1.6328125" style="281" customWidth="1" collapsed="1"/>
    <col min="46" max="51" width="10.6328125" style="43" customWidth="1" outlineLevel="1"/>
    <col min="52" max="52" width="1.6328125" style="281" customWidth="1"/>
    <col min="53" max="53" width="10.6328125" style="43" customWidth="1" outlineLevel="1" collapsed="1"/>
    <col min="54" max="58" width="10.6328125" style="43" customWidth="1" outlineLevel="1"/>
    <col min="59" max="59" width="1.6328125" style="281" customWidth="1"/>
    <col min="60" max="71" width="10.6328125" style="43" customWidth="1" outlineLevel="1"/>
    <col min="72" max="72" width="1.6328125" style="281" customWidth="1"/>
    <col min="73" max="75" width="10.6328125" style="43" customWidth="1"/>
    <col min="76" max="76" width="1.6328125" style="281" customWidth="1"/>
    <col min="77" max="82" width="10.6328125" style="43" customWidth="1" outlineLevel="1"/>
    <col min="83" max="83" width="12.6328125" style="1" customWidth="1"/>
    <col min="84" max="86" width="12.6328125" style="1" customWidth="1" outlineLevel="1"/>
    <col min="87" max="87" width="12.6328125" style="1" customWidth="1"/>
    <col min="88" max="90" width="12.6328125" style="1" customWidth="1" outlineLevel="1"/>
    <col min="91" max="92" width="12.6328125" style="1" customWidth="1"/>
    <col min="93" max="95" width="12.6328125" style="1" customWidth="1" outlineLevel="1"/>
    <col min="96" max="96" width="13.6328125" style="1" bestFit="1" customWidth="1"/>
    <col min="97" max="16384" width="8.7265625" style="1"/>
  </cols>
  <sheetData>
    <row r="1" spans="1:96" x14ac:dyDescent="0.35">
      <c r="A1" s="41" t="s">
        <v>100</v>
      </c>
    </row>
    <row r="2" spans="1:96" ht="21" x14ac:dyDescent="0.35">
      <c r="B2" s="22" t="s">
        <v>1275</v>
      </c>
      <c r="S2" s="327"/>
    </row>
    <row r="3" spans="1:96" ht="15" customHeight="1" x14ac:dyDescent="0.35">
      <c r="B3" s="22"/>
    </row>
    <row r="4" spans="1:96" s="72" customFormat="1" ht="15" customHeight="1" thickBot="1" x14ac:dyDescent="0.4">
      <c r="B4" s="73"/>
      <c r="F4" s="74" t="s">
        <v>158</v>
      </c>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282"/>
      <c r="AT4" s="74" t="s">
        <v>159</v>
      </c>
      <c r="AU4" s="74"/>
      <c r="AV4" s="74"/>
      <c r="AW4" s="74" t="s">
        <v>157</v>
      </c>
      <c r="AX4" s="74"/>
      <c r="AY4" s="74"/>
      <c r="AZ4" s="282"/>
      <c r="BA4" s="75" t="s">
        <v>159</v>
      </c>
      <c r="BB4" s="74"/>
      <c r="BC4" s="74"/>
      <c r="BD4" s="74"/>
      <c r="BE4" s="74"/>
      <c r="BF4" s="74"/>
      <c r="BG4" s="282"/>
      <c r="BH4" s="76" t="s">
        <v>157</v>
      </c>
      <c r="BI4" s="74"/>
      <c r="BJ4" s="74"/>
      <c r="BK4" s="74"/>
      <c r="BL4" s="74"/>
      <c r="BM4" s="74"/>
      <c r="BN4" s="74"/>
      <c r="BO4" s="74"/>
      <c r="BP4" s="74"/>
      <c r="BQ4" s="74"/>
      <c r="BR4" s="74"/>
      <c r="BS4" s="74"/>
      <c r="BT4" s="282"/>
      <c r="BU4" s="74"/>
      <c r="BV4" s="74"/>
      <c r="BW4" s="74"/>
      <c r="BX4" s="282"/>
      <c r="BY4" s="77" t="s">
        <v>159</v>
      </c>
      <c r="BZ4" s="74"/>
      <c r="CA4" s="74"/>
      <c r="CB4" s="74"/>
      <c r="CC4" s="74"/>
      <c r="CD4" s="74"/>
    </row>
    <row r="5" spans="1:96" s="4" customFormat="1" x14ac:dyDescent="0.35">
      <c r="A5" s="273" t="s">
        <v>19</v>
      </c>
      <c r="B5" s="275" t="s">
        <v>123</v>
      </c>
      <c r="C5" s="277" t="s">
        <v>124</v>
      </c>
      <c r="D5" s="275" t="s">
        <v>138</v>
      </c>
      <c r="E5" s="286" t="s">
        <v>91</v>
      </c>
      <c r="F5" s="318" t="s">
        <v>148</v>
      </c>
      <c r="G5" s="319"/>
      <c r="H5" s="319"/>
      <c r="I5" s="319"/>
      <c r="J5" s="319"/>
      <c r="K5" s="319"/>
      <c r="L5" s="319"/>
      <c r="M5" s="319"/>
      <c r="N5" s="319"/>
      <c r="O5" s="319"/>
      <c r="P5" s="319"/>
      <c r="Q5" s="320"/>
      <c r="R5" s="269" t="s">
        <v>147</v>
      </c>
      <c r="S5" s="270"/>
      <c r="T5" s="270"/>
      <c r="U5" s="270"/>
      <c r="V5" s="270"/>
      <c r="W5" s="260"/>
      <c r="X5" s="260"/>
      <c r="Y5" s="260"/>
      <c r="Z5" s="260"/>
      <c r="AA5" s="260"/>
      <c r="AB5" s="260"/>
      <c r="AC5" s="260"/>
      <c r="AD5" s="318" t="s">
        <v>152</v>
      </c>
      <c r="AE5" s="319"/>
      <c r="AF5" s="319"/>
      <c r="AG5" s="319"/>
      <c r="AH5" s="319"/>
      <c r="AI5" s="319"/>
      <c r="AJ5" s="319"/>
      <c r="AK5" s="319"/>
      <c r="AL5" s="319"/>
      <c r="AM5" s="319"/>
      <c r="AN5" s="319"/>
      <c r="AO5" s="320"/>
      <c r="AP5" s="318" t="s">
        <v>153</v>
      </c>
      <c r="AQ5" s="319"/>
      <c r="AR5" s="320"/>
      <c r="AS5" s="283"/>
      <c r="AT5" s="318" t="s">
        <v>149</v>
      </c>
      <c r="AU5" s="319"/>
      <c r="AV5" s="320"/>
      <c r="AW5" s="318" t="s">
        <v>155</v>
      </c>
      <c r="AX5" s="319"/>
      <c r="AY5" s="320"/>
      <c r="AZ5" s="283"/>
      <c r="BA5" s="311" t="s">
        <v>145</v>
      </c>
      <c r="BB5" s="271"/>
      <c r="BC5" s="272"/>
      <c r="BD5" s="311" t="s">
        <v>146</v>
      </c>
      <c r="BE5" s="271"/>
      <c r="BF5" s="272"/>
      <c r="BG5" s="283"/>
      <c r="BH5" s="321" t="s">
        <v>162</v>
      </c>
      <c r="BI5" s="322"/>
      <c r="BJ5" s="323"/>
      <c r="BK5" s="321" t="s">
        <v>163</v>
      </c>
      <c r="BL5" s="322"/>
      <c r="BM5" s="323"/>
      <c r="BN5" s="321" t="s">
        <v>150</v>
      </c>
      <c r="BO5" s="322"/>
      <c r="BP5" s="323"/>
      <c r="BQ5" s="321" t="s">
        <v>151</v>
      </c>
      <c r="BR5" s="322"/>
      <c r="BS5" s="323"/>
      <c r="BT5" s="283"/>
      <c r="BU5" s="321" t="s">
        <v>156</v>
      </c>
      <c r="BV5" s="322"/>
      <c r="BW5" s="323"/>
      <c r="BX5" s="283"/>
      <c r="BY5" s="324" t="s">
        <v>160</v>
      </c>
      <c r="BZ5" s="325"/>
      <c r="CA5" s="326"/>
      <c r="CB5" s="324" t="s">
        <v>161</v>
      </c>
      <c r="CC5" s="325"/>
      <c r="CD5" s="326"/>
      <c r="CE5" s="328" t="s">
        <v>1284</v>
      </c>
      <c r="CF5" s="329"/>
      <c r="CG5" s="329"/>
      <c r="CH5" s="330"/>
      <c r="CI5" s="321" t="s">
        <v>1286</v>
      </c>
      <c r="CJ5" s="322"/>
      <c r="CK5" s="322"/>
      <c r="CL5" s="323"/>
      <c r="CM5" s="337" t="s">
        <v>108</v>
      </c>
      <c r="CN5" s="321" t="s">
        <v>1289</v>
      </c>
      <c r="CO5" s="322"/>
      <c r="CP5" s="322"/>
      <c r="CQ5" s="323"/>
    </row>
    <row r="6" spans="1:96" ht="15" thickBot="1" x14ac:dyDescent="0.4">
      <c r="A6" s="274"/>
      <c r="B6" s="276"/>
      <c r="C6" s="278"/>
      <c r="D6" s="276"/>
      <c r="E6" s="287"/>
      <c r="F6" s="44">
        <v>1</v>
      </c>
      <c r="G6" s="45">
        <v>2</v>
      </c>
      <c r="H6" s="45">
        <v>3</v>
      </c>
      <c r="I6" s="45">
        <v>4</v>
      </c>
      <c r="J6" s="45">
        <v>5</v>
      </c>
      <c r="K6" s="45">
        <v>6</v>
      </c>
      <c r="L6" s="45">
        <v>7</v>
      </c>
      <c r="M6" s="45">
        <v>8</v>
      </c>
      <c r="N6" s="45">
        <v>9</v>
      </c>
      <c r="O6" s="45">
        <v>10</v>
      </c>
      <c r="P6" s="45">
        <v>11</v>
      </c>
      <c r="Q6" s="46">
        <v>12</v>
      </c>
      <c r="R6" s="44">
        <v>1</v>
      </c>
      <c r="S6" s="45">
        <v>2</v>
      </c>
      <c r="T6" s="45">
        <v>3</v>
      </c>
      <c r="U6" s="69">
        <v>4</v>
      </c>
      <c r="V6" s="69">
        <v>5</v>
      </c>
      <c r="W6" s="69">
        <v>6</v>
      </c>
      <c r="X6" s="69">
        <v>7</v>
      </c>
      <c r="Y6" s="45">
        <v>8</v>
      </c>
      <c r="Z6" s="45">
        <v>9</v>
      </c>
      <c r="AA6" s="69">
        <v>10</v>
      </c>
      <c r="AB6" s="69">
        <v>11</v>
      </c>
      <c r="AC6" s="69">
        <v>12</v>
      </c>
      <c r="AD6" s="44">
        <v>1</v>
      </c>
      <c r="AE6" s="45">
        <v>2</v>
      </c>
      <c r="AF6" s="45">
        <v>3</v>
      </c>
      <c r="AG6" s="69">
        <v>4</v>
      </c>
      <c r="AH6" s="69">
        <v>5</v>
      </c>
      <c r="AI6" s="69">
        <v>6</v>
      </c>
      <c r="AJ6" s="69">
        <v>7</v>
      </c>
      <c r="AK6" s="45">
        <v>8</v>
      </c>
      <c r="AL6" s="45">
        <v>9</v>
      </c>
      <c r="AM6" s="69">
        <v>10</v>
      </c>
      <c r="AN6" s="69">
        <v>11</v>
      </c>
      <c r="AO6" s="69">
        <v>12</v>
      </c>
      <c r="AP6" s="44">
        <v>1</v>
      </c>
      <c r="AQ6" s="45">
        <v>2</v>
      </c>
      <c r="AR6" s="46">
        <v>3</v>
      </c>
      <c r="AT6" s="44">
        <v>1</v>
      </c>
      <c r="AU6" s="45">
        <v>2</v>
      </c>
      <c r="AV6" s="46">
        <v>3</v>
      </c>
      <c r="AW6" s="44">
        <v>1</v>
      </c>
      <c r="AX6" s="45">
        <v>2</v>
      </c>
      <c r="AY6" s="292">
        <v>3</v>
      </c>
      <c r="BA6" s="44">
        <v>1</v>
      </c>
      <c r="BB6" s="45">
        <v>2</v>
      </c>
      <c r="BC6" s="46">
        <v>3</v>
      </c>
      <c r="BD6" s="44">
        <v>1</v>
      </c>
      <c r="BE6" s="45">
        <v>2</v>
      </c>
      <c r="BF6" s="46">
        <v>3</v>
      </c>
      <c r="BH6" s="44">
        <v>1</v>
      </c>
      <c r="BI6" s="45">
        <v>2</v>
      </c>
      <c r="BJ6" s="46">
        <v>3</v>
      </c>
      <c r="BK6" s="44">
        <v>1</v>
      </c>
      <c r="BL6" s="45">
        <v>2</v>
      </c>
      <c r="BM6" s="46">
        <v>3</v>
      </c>
      <c r="BN6" s="44">
        <v>1</v>
      </c>
      <c r="BO6" s="45">
        <v>2</v>
      </c>
      <c r="BP6" s="46">
        <v>3</v>
      </c>
      <c r="BQ6" s="44">
        <v>1</v>
      </c>
      <c r="BR6" s="45">
        <v>2</v>
      </c>
      <c r="BS6" s="46">
        <v>3</v>
      </c>
      <c r="BU6" s="44">
        <v>1</v>
      </c>
      <c r="BV6" s="45">
        <v>2</v>
      </c>
      <c r="BW6" s="46">
        <v>3</v>
      </c>
      <c r="BY6" s="44">
        <v>1</v>
      </c>
      <c r="BZ6" s="45">
        <v>2</v>
      </c>
      <c r="CA6" s="46">
        <v>3</v>
      </c>
      <c r="CB6" s="44">
        <v>1</v>
      </c>
      <c r="CC6" s="45">
        <v>2</v>
      </c>
      <c r="CD6" s="46">
        <v>3</v>
      </c>
      <c r="CE6" s="338" t="s">
        <v>1285</v>
      </c>
      <c r="CF6" s="339" t="s">
        <v>1290</v>
      </c>
      <c r="CG6" s="339" t="s">
        <v>1291</v>
      </c>
      <c r="CH6" s="340" t="s">
        <v>1292</v>
      </c>
      <c r="CI6" s="341" t="s">
        <v>1285</v>
      </c>
      <c r="CJ6" s="339" t="s">
        <v>1290</v>
      </c>
      <c r="CK6" s="339" t="s">
        <v>1291</v>
      </c>
      <c r="CL6" s="340" t="s">
        <v>1292</v>
      </c>
      <c r="CM6" s="342" t="s">
        <v>1293</v>
      </c>
      <c r="CN6" s="338" t="s">
        <v>1285</v>
      </c>
      <c r="CO6" s="45" t="s">
        <v>1290</v>
      </c>
      <c r="CP6" s="45" t="s">
        <v>1291</v>
      </c>
      <c r="CQ6" s="46" t="s">
        <v>1292</v>
      </c>
    </row>
    <row r="7" spans="1:96" x14ac:dyDescent="0.35">
      <c r="A7" s="47">
        <f>ROWS($A$7:A7)</f>
        <v>1</v>
      </c>
      <c r="B7" s="48" t="s">
        <v>25</v>
      </c>
      <c r="C7" s="48" t="s">
        <v>125</v>
      </c>
      <c r="D7" s="174" t="s">
        <v>126</v>
      </c>
      <c r="E7" s="288" t="s">
        <v>63</v>
      </c>
      <c r="F7" s="49">
        <v>200</v>
      </c>
      <c r="G7" s="50">
        <v>100</v>
      </c>
      <c r="H7" s="261">
        <v>150</v>
      </c>
      <c r="I7" s="50">
        <v>200</v>
      </c>
      <c r="J7" s="50">
        <v>200</v>
      </c>
      <c r="K7" s="50">
        <v>200</v>
      </c>
      <c r="L7" s="50">
        <v>200</v>
      </c>
      <c r="M7" s="50">
        <v>200</v>
      </c>
      <c r="N7" s="50">
        <v>200</v>
      </c>
      <c r="O7" s="50">
        <v>200</v>
      </c>
      <c r="P7" s="50">
        <v>200</v>
      </c>
      <c r="Q7" s="53">
        <v>200</v>
      </c>
      <c r="R7" s="49">
        <v>286.46199999999993</v>
      </c>
      <c r="S7" s="50">
        <v>279.767</v>
      </c>
      <c r="T7" s="50">
        <f>143573/10^3</f>
        <v>143.57300000000001</v>
      </c>
      <c r="U7" s="54"/>
      <c r="V7" s="50"/>
      <c r="W7" s="54"/>
      <c r="X7" s="50"/>
      <c r="Y7" s="50"/>
      <c r="Z7" s="50"/>
      <c r="AA7" s="50"/>
      <c r="AB7" s="52"/>
      <c r="AC7" s="52"/>
      <c r="AD7" s="49">
        <v>286.46199999999993</v>
      </c>
      <c r="AE7" s="50">
        <v>279.767</v>
      </c>
      <c r="AF7" s="50">
        <v>143.57300000000001</v>
      </c>
      <c r="AG7" s="54"/>
      <c r="AH7" s="50"/>
      <c r="AI7" s="54"/>
      <c r="AJ7" s="50"/>
      <c r="AK7" s="50"/>
      <c r="AL7" s="50"/>
      <c r="AM7" s="50"/>
      <c r="AN7" s="52"/>
      <c r="AO7" s="52"/>
      <c r="AP7" s="296">
        <f>IFERROR(R7/F7,0)</f>
        <v>1.4323099999999998</v>
      </c>
      <c r="AQ7" s="51">
        <f>IFERROR(S7/G7,0)</f>
        <v>2.7976700000000001</v>
      </c>
      <c r="AR7" s="297">
        <f>IFERROR(T7/H7,0)</f>
        <v>0.95715333333333341</v>
      </c>
      <c r="AT7" s="49">
        <v>9960.7501169439583</v>
      </c>
      <c r="AU7" s="50">
        <v>9698.7684702671995</v>
      </c>
      <c r="AV7" s="53"/>
      <c r="AW7" s="49">
        <f>AT7*R7/10^3</f>
        <v>2853.3763999999996</v>
      </c>
      <c r="AX7" s="50">
        <f>AU7*S7/10^3</f>
        <v>2713.3953586212433</v>
      </c>
      <c r="AY7" s="293"/>
      <c r="BA7" s="49">
        <f>IF(AP7&lt;95%,0,150)</f>
        <v>150</v>
      </c>
      <c r="BB7" s="50">
        <f>IF(AQ7&lt;95%,0,150)</f>
        <v>150</v>
      </c>
      <c r="BC7" s="53">
        <f>IF(AR7&lt;95%,0,150)</f>
        <v>150</v>
      </c>
      <c r="BD7" s="49">
        <f>_xlfn.XLOOKUP($E7,'1. CS Hỗ trợ vận chuyển'!$D$8:$D$42,'1. CS Hỗ trợ vận chuyển'!$H$8:$H$42)</f>
        <v>300</v>
      </c>
      <c r="BE7" s="50">
        <f>_xlfn.XLOOKUP($E7,'1. CS Hỗ trợ vận chuyển'!$D$8:$D$42,'1. CS Hỗ trợ vận chuyển'!$H$8:$H$42)</f>
        <v>300</v>
      </c>
      <c r="BF7" s="53">
        <f>_xlfn.XLOOKUP($E7,'1. CS Hỗ trợ vận chuyển'!$D$8:$D$42,'1. CS Hỗ trợ vận chuyển'!$H$8:$H$42)</f>
        <v>300</v>
      </c>
      <c r="BH7" s="49">
        <f>BA7*R7/10^3</f>
        <v>42.96929999999999</v>
      </c>
      <c r="BI7" s="50">
        <f>BB7*S7/10^3</f>
        <v>41.965050000000005</v>
      </c>
      <c r="BJ7" s="53">
        <f>BC7*T7/10^3</f>
        <v>21.53595</v>
      </c>
      <c r="BK7" s="49">
        <f t="shared" ref="BK7:BK20" si="0">AD7*BD7/10^3</f>
        <v>85.93859999999998</v>
      </c>
      <c r="BL7" s="52">
        <f>AE7*BE7/10^3</f>
        <v>83.93010000000001</v>
      </c>
      <c r="BM7" s="53">
        <f>AF7*BF7/10^3</f>
        <v>43.071899999999999</v>
      </c>
      <c r="BN7" s="49"/>
      <c r="BO7" s="50"/>
      <c r="BP7" s="53"/>
      <c r="BQ7" s="49"/>
      <c r="BR7" s="50"/>
      <c r="BS7" s="293"/>
      <c r="BU7" s="49">
        <f>SUM(BH7,BK7,BN7,BQ7)</f>
        <v>128.90789999999998</v>
      </c>
      <c r="BV7" s="50">
        <f>SUM(BI7,BL7,BO7,BR7)</f>
        <v>125.89515000000002</v>
      </c>
      <c r="BW7" s="53">
        <f t="shared" ref="BW7:BW15" si="1">SUM(BJ7,BM7,BP7,BS7)</f>
        <v>64.607849999999999</v>
      </c>
      <c r="BY7" s="49">
        <f>IFERROR((SUM(BH7,BK7,BN7,BQ7)+(R7*AT7/10^3))/R7*10^3,0)</f>
        <v>10410.750116943958</v>
      </c>
      <c r="BZ7" s="50">
        <f>IFERROR((SUM(BI7,BL7,BO7,BR7)+(S7*AU7/10^3))/S7*10^3,0)</f>
        <v>10148.768470267198</v>
      </c>
      <c r="CA7" s="53"/>
      <c r="CB7" s="49">
        <v>10000</v>
      </c>
      <c r="CC7" s="50">
        <v>10000</v>
      </c>
      <c r="CD7" s="53">
        <v>10000</v>
      </c>
      <c r="CE7" s="49"/>
      <c r="CF7" s="50"/>
      <c r="CG7" s="50"/>
      <c r="CH7" s="53"/>
      <c r="CI7" s="331"/>
      <c r="CJ7" s="50"/>
      <c r="CK7" s="50"/>
      <c r="CL7" s="53"/>
      <c r="CM7" s="312"/>
      <c r="CN7" s="49"/>
      <c r="CO7" s="50"/>
      <c r="CP7" s="50"/>
      <c r="CQ7" s="53"/>
      <c r="CR7" s="1" t="s">
        <v>1283</v>
      </c>
    </row>
    <row r="8" spans="1:96" x14ac:dyDescent="0.35">
      <c r="A8" s="55">
        <f>ROWS($A$7:A8)</f>
        <v>2</v>
      </c>
      <c r="B8" s="14" t="s">
        <v>25</v>
      </c>
      <c r="C8" s="14" t="s">
        <v>127</v>
      </c>
      <c r="D8" s="175" t="s">
        <v>128</v>
      </c>
      <c r="E8" s="289" t="s">
        <v>47</v>
      </c>
      <c r="F8" s="56">
        <v>30</v>
      </c>
      <c r="G8" s="18">
        <v>30</v>
      </c>
      <c r="H8" s="263">
        <v>50</v>
      </c>
      <c r="I8" s="18"/>
      <c r="J8" s="18"/>
      <c r="K8" s="18"/>
      <c r="L8" s="18"/>
      <c r="M8" s="18"/>
      <c r="N8" s="18"/>
      <c r="O8" s="18"/>
      <c r="P8" s="18"/>
      <c r="Q8" s="58"/>
      <c r="R8" s="56">
        <v>28.539000000000001</v>
      </c>
      <c r="S8" s="18">
        <v>31.650000000000002</v>
      </c>
      <c r="T8" s="18">
        <f>27878/10^3</f>
        <v>27.878</v>
      </c>
      <c r="U8" s="59"/>
      <c r="V8" s="18"/>
      <c r="W8" s="59"/>
      <c r="X8" s="18"/>
      <c r="Y8" s="18"/>
      <c r="Z8" s="18"/>
      <c r="AA8" s="18"/>
      <c r="AB8" s="57"/>
      <c r="AC8" s="57"/>
      <c r="AD8" s="56">
        <v>28.539000000000001</v>
      </c>
      <c r="AE8" s="18">
        <v>31.650000000000002</v>
      </c>
      <c r="AF8" s="50">
        <v>27.878</v>
      </c>
      <c r="AG8" s="59"/>
      <c r="AH8" s="18"/>
      <c r="AI8" s="59"/>
      <c r="AJ8" s="18"/>
      <c r="AK8" s="18"/>
      <c r="AL8" s="18"/>
      <c r="AM8" s="18"/>
      <c r="AN8" s="57"/>
      <c r="AO8" s="57"/>
      <c r="AP8" s="296">
        <f>IFERROR(R8/F8,0)</f>
        <v>0.95130000000000003</v>
      </c>
      <c r="AQ8" s="51">
        <f>IFERROR(S8/G8,0)</f>
        <v>1.0550000000000002</v>
      </c>
      <c r="AR8" s="297">
        <f>IFERROR(T8/H8,0)</f>
        <v>0.55756000000000006</v>
      </c>
      <c r="AT8" s="56">
        <v>9891.7446301552263</v>
      </c>
      <c r="AU8" s="18">
        <v>9610.6919431279621</v>
      </c>
      <c r="AV8" s="58"/>
      <c r="AW8" s="56">
        <f>AT8*R8/10^3</f>
        <v>282.3005</v>
      </c>
      <c r="AX8" s="18">
        <f>AU8*S8/10^3</f>
        <v>304.17840000000001</v>
      </c>
      <c r="AY8" s="308"/>
      <c r="BA8" s="56">
        <f t="shared" ref="BA8:BA15" si="2">IF(AP8&lt;95%,0,150)</f>
        <v>150</v>
      </c>
      <c r="BB8" s="18">
        <f>IF(AQ8&lt;95%,0,150)</f>
        <v>150</v>
      </c>
      <c r="BC8" s="58">
        <f>IF(AR8&lt;95%,0,150)</f>
        <v>0</v>
      </c>
      <c r="BD8" s="56">
        <f>_xlfn.XLOOKUP($E8,'1. CS Hỗ trợ vận chuyển'!$D$8:$D$42,'1. CS Hỗ trợ vận chuyển'!$H$8:$H$42)</f>
        <v>400</v>
      </c>
      <c r="BE8" s="18">
        <f>_xlfn.XLOOKUP($E8,'1. CS Hỗ trợ vận chuyển'!$D$8:$D$42,'1. CS Hỗ trợ vận chuyển'!$H$8:$H$42)</f>
        <v>400</v>
      </c>
      <c r="BF8" s="58">
        <f>_xlfn.XLOOKUP($E8,'1. CS Hỗ trợ vận chuyển'!$D$8:$D$42,'1. CS Hỗ trợ vận chuyển'!$H$8:$H$42)</f>
        <v>400</v>
      </c>
      <c r="BH8" s="56">
        <f>BA8*R8/10^3</f>
        <v>4.28085</v>
      </c>
      <c r="BI8" s="18">
        <f>BB8*S8/10^3</f>
        <v>4.7474999999999996</v>
      </c>
      <c r="BJ8" s="58">
        <f>BC8*T8/10^3</f>
        <v>0</v>
      </c>
      <c r="BK8" s="56">
        <f t="shared" si="0"/>
        <v>11.4156</v>
      </c>
      <c r="BL8" s="57">
        <f>AE8*BE8/10^3</f>
        <v>12.66</v>
      </c>
      <c r="BM8" s="58">
        <f>AF8*BF8/10^3</f>
        <v>11.151200000000001</v>
      </c>
      <c r="BN8" s="56"/>
      <c r="BO8" s="18"/>
      <c r="BP8" s="58"/>
      <c r="BQ8" s="56"/>
      <c r="BR8" s="18"/>
      <c r="BS8" s="308"/>
      <c r="BU8" s="56">
        <f t="shared" ref="BU8:BU20" si="3">SUM(BH8,BK8,BN8,BQ8)</f>
        <v>15.696449999999999</v>
      </c>
      <c r="BV8" s="18">
        <f>SUM(BI8,BL8,BO8,BR8)</f>
        <v>17.407499999999999</v>
      </c>
      <c r="BW8" s="58">
        <f t="shared" si="1"/>
        <v>11.151200000000001</v>
      </c>
      <c r="BY8" s="56">
        <f>IFERROR((SUM(BH8,BK8,BN8,BQ8)+(R8*AT8/10^3))/R8*10^3,0)</f>
        <v>10441.744630155225</v>
      </c>
      <c r="BZ8" s="18">
        <f>IFERROR((SUM(BI8,BL8,BO8,BR8)+(S8*AU8/10^3))/S8*10^3,0)</f>
        <v>10160.691943127964</v>
      </c>
      <c r="CA8" s="58"/>
      <c r="CB8" s="56">
        <v>10000</v>
      </c>
      <c r="CC8" s="18">
        <v>10000</v>
      </c>
      <c r="CD8" s="58">
        <v>10000</v>
      </c>
      <c r="CE8" s="56"/>
      <c r="CF8" s="18"/>
      <c r="CG8" s="18"/>
      <c r="CH8" s="58"/>
      <c r="CI8" s="332"/>
      <c r="CJ8" s="18"/>
      <c r="CK8" s="18"/>
      <c r="CL8" s="58"/>
      <c r="CM8" s="313"/>
      <c r="CN8" s="56"/>
      <c r="CO8" s="18"/>
      <c r="CP8" s="18"/>
      <c r="CQ8" s="58"/>
    </row>
    <row r="9" spans="1:96" x14ac:dyDescent="0.35">
      <c r="A9" s="55">
        <f>ROWS($A$7:A9)</f>
        <v>3</v>
      </c>
      <c r="B9" s="14" t="s">
        <v>25</v>
      </c>
      <c r="C9" s="14" t="s">
        <v>129</v>
      </c>
      <c r="D9" s="175" t="s">
        <v>221</v>
      </c>
      <c r="E9" s="289" t="s">
        <v>48</v>
      </c>
      <c r="F9" s="56">
        <v>50</v>
      </c>
      <c r="G9" s="18">
        <v>30</v>
      </c>
      <c r="H9" s="262">
        <v>60</v>
      </c>
      <c r="I9" s="18">
        <v>70</v>
      </c>
      <c r="J9" s="18">
        <v>90</v>
      </c>
      <c r="K9" s="18">
        <v>100</v>
      </c>
      <c r="L9" s="18">
        <v>100</v>
      </c>
      <c r="M9" s="18">
        <v>100</v>
      </c>
      <c r="N9" s="18">
        <v>100</v>
      </c>
      <c r="O9" s="18">
        <v>100</v>
      </c>
      <c r="P9" s="18">
        <v>100</v>
      </c>
      <c r="Q9" s="58">
        <v>100</v>
      </c>
      <c r="R9" s="56">
        <v>62.032000000000011</v>
      </c>
      <c r="S9" s="18">
        <v>32.518000000000001</v>
      </c>
      <c r="T9" s="18">
        <f>78429/10^3</f>
        <v>78.429000000000002</v>
      </c>
      <c r="U9" s="59"/>
      <c r="V9" s="18"/>
      <c r="W9" s="59"/>
      <c r="X9" s="18"/>
      <c r="Y9" s="18"/>
      <c r="Z9" s="18"/>
      <c r="AA9" s="18"/>
      <c r="AB9" s="57"/>
      <c r="AC9" s="57"/>
      <c r="AD9" s="56">
        <v>62.032000000000011</v>
      </c>
      <c r="AE9" s="18">
        <v>32.518000000000001</v>
      </c>
      <c r="AF9" s="50">
        <v>78.429000000000002</v>
      </c>
      <c r="AG9" s="59"/>
      <c r="AH9" s="18"/>
      <c r="AI9" s="59"/>
      <c r="AJ9" s="18"/>
      <c r="AK9" s="18"/>
      <c r="AL9" s="18"/>
      <c r="AM9" s="18"/>
      <c r="AN9" s="57"/>
      <c r="AO9" s="57"/>
      <c r="AP9" s="298">
        <f>IFERROR(R9/F9,0)</f>
        <v>1.2406400000000002</v>
      </c>
      <c r="AQ9" s="176">
        <f>IFERROR(S9/G9,0)</f>
        <v>1.0839333333333334</v>
      </c>
      <c r="AR9" s="299">
        <f>IFERROR(T9/H9,0)</f>
        <v>1.30715</v>
      </c>
      <c r="AT9" s="56">
        <v>9996.6791333505262</v>
      </c>
      <c r="AU9" s="18">
        <v>9694.9012854419088</v>
      </c>
      <c r="AV9" s="58"/>
      <c r="AW9" s="56">
        <f>AT9*R9/10^3</f>
        <v>620.11400000000003</v>
      </c>
      <c r="AX9" s="18">
        <f>AU9*S9/10^3</f>
        <v>315.25880000000001</v>
      </c>
      <c r="AY9" s="308"/>
      <c r="BA9" s="56">
        <f t="shared" si="2"/>
        <v>150</v>
      </c>
      <c r="BB9" s="18">
        <f>IF(AQ9&lt;95%,0,150)</f>
        <v>150</v>
      </c>
      <c r="BC9" s="58">
        <f>IF(AR9&lt;95%,0,150)</f>
        <v>150</v>
      </c>
      <c r="BD9" s="56">
        <f>_xlfn.XLOOKUP($E9,'1. CS Hỗ trợ vận chuyển'!$D$8:$D$42,'1. CS Hỗ trợ vận chuyển'!$H$8:$H$42)</f>
        <v>400</v>
      </c>
      <c r="BE9" s="18">
        <f>_xlfn.XLOOKUP($E9,'1. CS Hỗ trợ vận chuyển'!$D$8:$D$42,'1. CS Hỗ trợ vận chuyển'!$H$8:$H$42)</f>
        <v>400</v>
      </c>
      <c r="BF9" s="58">
        <f>_xlfn.XLOOKUP($E9,'1. CS Hỗ trợ vận chuyển'!$D$8:$D$42,'1. CS Hỗ trợ vận chuyển'!$H$8:$H$42)</f>
        <v>400</v>
      </c>
      <c r="BH9" s="56">
        <f>BA9*R9/10^3</f>
        <v>9.304800000000002</v>
      </c>
      <c r="BI9" s="18">
        <f>BB9*S9/10^3</f>
        <v>4.8776999999999999</v>
      </c>
      <c r="BJ9" s="58">
        <f>BC9*T9/10^3</f>
        <v>11.76435</v>
      </c>
      <c r="BK9" s="56">
        <f t="shared" si="0"/>
        <v>24.812800000000003</v>
      </c>
      <c r="BL9" s="57">
        <f>AE9*BE9/10^3</f>
        <v>13.007200000000001</v>
      </c>
      <c r="BM9" s="58">
        <f>AF9*BF9/10^3</f>
        <v>31.371600000000001</v>
      </c>
      <c r="BN9" s="56"/>
      <c r="BO9" s="18"/>
      <c r="BP9" s="58"/>
      <c r="BQ9" s="56"/>
      <c r="BR9" s="18"/>
      <c r="BS9" s="308"/>
      <c r="BU9" s="56">
        <f t="shared" si="3"/>
        <v>34.117600000000003</v>
      </c>
      <c r="BV9" s="18">
        <f>SUM(BI9,BL9,BO9,BR9)</f>
        <v>17.884900000000002</v>
      </c>
      <c r="BW9" s="58">
        <f t="shared" si="1"/>
        <v>43.135950000000001</v>
      </c>
      <c r="BY9" s="56">
        <f>IFERROR((SUM(BH9,BK9,BN9,BQ9)+(R9*AT9/10^3))/R9*10^3,0)</f>
        <v>10546.679133350528</v>
      </c>
      <c r="BZ9" s="18">
        <f>IFERROR((SUM(BI9,BL9,BO9,BR9)+(S9*AU9/10^3))/S9*10^3,0)</f>
        <v>10244.901285441909</v>
      </c>
      <c r="CA9" s="58"/>
      <c r="CB9" s="56">
        <v>10000</v>
      </c>
      <c r="CC9" s="18">
        <v>10000</v>
      </c>
      <c r="CD9" s="58">
        <v>10000</v>
      </c>
      <c r="CE9" s="56"/>
      <c r="CF9" s="18"/>
      <c r="CG9" s="18"/>
      <c r="CH9" s="58"/>
      <c r="CI9" s="332"/>
      <c r="CJ9" s="18"/>
      <c r="CK9" s="18"/>
      <c r="CL9" s="58"/>
      <c r="CM9" s="313"/>
      <c r="CN9" s="56"/>
      <c r="CO9" s="18"/>
      <c r="CP9" s="18"/>
      <c r="CQ9" s="58"/>
    </row>
    <row r="10" spans="1:96" x14ac:dyDescent="0.35">
      <c r="A10" s="55">
        <f>ROWS($A$7:A10)</f>
        <v>4</v>
      </c>
      <c r="B10" s="14" t="s">
        <v>25</v>
      </c>
      <c r="C10" s="14" t="s">
        <v>131</v>
      </c>
      <c r="D10" s="175" t="s">
        <v>132</v>
      </c>
      <c r="E10" s="289" t="s">
        <v>31</v>
      </c>
      <c r="F10" s="56">
        <v>80</v>
      </c>
      <c r="G10" s="18">
        <v>50</v>
      </c>
      <c r="H10" s="263">
        <v>80</v>
      </c>
      <c r="I10" s="18">
        <v>110</v>
      </c>
      <c r="J10" s="18">
        <v>110</v>
      </c>
      <c r="K10" s="18">
        <v>120</v>
      </c>
      <c r="L10" s="18">
        <v>120</v>
      </c>
      <c r="M10" s="18">
        <v>120</v>
      </c>
      <c r="N10" s="18">
        <v>120</v>
      </c>
      <c r="O10" s="18">
        <v>80</v>
      </c>
      <c r="P10" s="18">
        <v>80</v>
      </c>
      <c r="Q10" s="58">
        <v>100</v>
      </c>
      <c r="R10" s="56">
        <v>85.919999999999987</v>
      </c>
      <c r="S10" s="18">
        <v>36.856999999999999</v>
      </c>
      <c r="T10" s="18">
        <f>88111/10^3</f>
        <v>88.111000000000004</v>
      </c>
      <c r="U10" s="59"/>
      <c r="V10" s="18"/>
      <c r="W10" s="59"/>
      <c r="X10" s="18"/>
      <c r="Y10" s="18"/>
      <c r="Z10" s="18"/>
      <c r="AA10" s="18"/>
      <c r="AB10" s="57"/>
      <c r="AC10" s="57"/>
      <c r="AD10" s="56">
        <v>85.919999999999987</v>
      </c>
      <c r="AE10" s="18">
        <v>36.856999999999999</v>
      </c>
      <c r="AF10" s="50">
        <v>88.111000000000004</v>
      </c>
      <c r="AG10" s="59"/>
      <c r="AH10" s="18"/>
      <c r="AI10" s="59"/>
      <c r="AJ10" s="18"/>
      <c r="AK10" s="18"/>
      <c r="AL10" s="18"/>
      <c r="AM10" s="18"/>
      <c r="AN10" s="57"/>
      <c r="AO10" s="57"/>
      <c r="AP10" s="298">
        <f>IFERROR(R10/F10,0)</f>
        <v>1.0739999999999998</v>
      </c>
      <c r="AQ10" s="176">
        <f>IFERROR(S10/G10,0)</f>
        <v>0.73714000000000002</v>
      </c>
      <c r="AR10" s="299">
        <f>IFERROR(T10/H10,0)</f>
        <v>1.1013875</v>
      </c>
      <c r="AT10" s="56">
        <v>9704.4692737430178</v>
      </c>
      <c r="AU10" s="18">
        <v>9369.9514339202869</v>
      </c>
      <c r="AV10" s="58"/>
      <c r="AW10" s="56">
        <f>AT10*R10/10^3</f>
        <v>833.80799999999999</v>
      </c>
      <c r="AX10" s="18">
        <f>AU10*S10/10^3</f>
        <v>345.34829999999999</v>
      </c>
      <c r="AY10" s="308"/>
      <c r="BA10" s="56">
        <f t="shared" si="2"/>
        <v>150</v>
      </c>
      <c r="BB10" s="18">
        <f>IF(AQ10&lt;95%,0,150)</f>
        <v>0</v>
      </c>
      <c r="BC10" s="58">
        <f>IF(AR10&lt;95%,0,150)</f>
        <v>150</v>
      </c>
      <c r="BD10" s="56">
        <f>_xlfn.XLOOKUP($E10,'1. CS Hỗ trợ vận chuyển'!$D$8:$D$42,'1. CS Hỗ trợ vận chuyển'!$H$8:$H$42)</f>
        <v>400</v>
      </c>
      <c r="BE10" s="18">
        <f>_xlfn.XLOOKUP($E10,'1. CS Hỗ trợ vận chuyển'!$D$8:$D$42,'1. CS Hỗ trợ vận chuyển'!$H$8:$H$42)</f>
        <v>400</v>
      </c>
      <c r="BF10" s="58">
        <f>_xlfn.XLOOKUP($E10,'1. CS Hỗ trợ vận chuyển'!$D$8:$D$42,'1. CS Hỗ trợ vận chuyển'!$H$8:$H$42)</f>
        <v>400</v>
      </c>
      <c r="BH10" s="56">
        <f>BA10*R10/10^3</f>
        <v>12.887999999999998</v>
      </c>
      <c r="BI10" s="18">
        <f>BB10*S10/10^3</f>
        <v>0</v>
      </c>
      <c r="BJ10" s="58">
        <f>BC10*T10/10^3</f>
        <v>13.216650000000001</v>
      </c>
      <c r="BK10" s="56">
        <f t="shared" si="0"/>
        <v>34.367999999999995</v>
      </c>
      <c r="BL10" s="57">
        <f>AE10*BE10/10^3</f>
        <v>14.742799999999999</v>
      </c>
      <c r="BM10" s="58">
        <f>AF10*BF10/10^3</f>
        <v>35.244399999999999</v>
      </c>
      <c r="BN10" s="56"/>
      <c r="BO10" s="18"/>
      <c r="BP10" s="58"/>
      <c r="BQ10" s="56"/>
      <c r="BR10" s="18"/>
      <c r="BS10" s="308"/>
      <c r="BU10" s="56">
        <f t="shared" si="3"/>
        <v>47.255999999999993</v>
      </c>
      <c r="BV10" s="18">
        <f>SUM(BI10,BL10,BO10,BR10)</f>
        <v>14.742799999999999</v>
      </c>
      <c r="BW10" s="58">
        <f t="shared" si="1"/>
        <v>48.46105</v>
      </c>
      <c r="BY10" s="56">
        <f>IFERROR((SUM(BH10,BK10,BN10,BQ10)+(R10*AT10/10^3))/R10*10^3,0)</f>
        <v>10254.469273743018</v>
      </c>
      <c r="BZ10" s="18">
        <f>IFERROR((SUM(BI10,BL10,BO10,BR10)+(S10*AU10/10^3))/S10*10^3,0)</f>
        <v>9769.9514339202869</v>
      </c>
      <c r="CA10" s="58"/>
      <c r="CB10" s="56">
        <v>10000</v>
      </c>
      <c r="CC10" s="18">
        <v>10000</v>
      </c>
      <c r="CD10" s="58">
        <v>10000</v>
      </c>
      <c r="CE10" s="56"/>
      <c r="CF10" s="18"/>
      <c r="CG10" s="18"/>
      <c r="CH10" s="58"/>
      <c r="CI10" s="332"/>
      <c r="CJ10" s="18"/>
      <c r="CK10" s="18"/>
      <c r="CL10" s="58"/>
      <c r="CM10" s="313"/>
      <c r="CN10" s="56"/>
      <c r="CO10" s="18"/>
      <c r="CP10" s="18"/>
      <c r="CQ10" s="58"/>
    </row>
    <row r="11" spans="1:96" x14ac:dyDescent="0.35">
      <c r="A11" s="55">
        <f>ROWS($A$7:A11)</f>
        <v>5</v>
      </c>
      <c r="B11" s="14" t="s">
        <v>25</v>
      </c>
      <c r="C11" s="14" t="s">
        <v>133</v>
      </c>
      <c r="D11" s="175" t="s">
        <v>134</v>
      </c>
      <c r="E11" s="289" t="s">
        <v>45</v>
      </c>
      <c r="F11" s="56">
        <v>80</v>
      </c>
      <c r="G11" s="18">
        <v>40</v>
      </c>
      <c r="H11" s="263">
        <v>60</v>
      </c>
      <c r="I11" s="18">
        <v>100</v>
      </c>
      <c r="J11" s="18">
        <v>100</v>
      </c>
      <c r="K11" s="18">
        <v>100</v>
      </c>
      <c r="L11" s="18">
        <v>120</v>
      </c>
      <c r="M11" s="18">
        <v>120</v>
      </c>
      <c r="N11" s="18">
        <v>120</v>
      </c>
      <c r="O11" s="18">
        <v>100</v>
      </c>
      <c r="P11" s="18">
        <v>80</v>
      </c>
      <c r="Q11" s="58">
        <v>80</v>
      </c>
      <c r="R11" s="56">
        <v>38.841999999999992</v>
      </c>
      <c r="S11" s="18">
        <v>0</v>
      </c>
      <c r="T11" s="18">
        <f>40075/10^3</f>
        <v>40.075000000000003</v>
      </c>
      <c r="U11" s="59"/>
      <c r="V11" s="18"/>
      <c r="W11" s="59"/>
      <c r="X11" s="18"/>
      <c r="Y11" s="18"/>
      <c r="Z11" s="18"/>
      <c r="AA11" s="18"/>
      <c r="AB11" s="57"/>
      <c r="AC11" s="57"/>
      <c r="AD11" s="56">
        <v>38.841999999999999</v>
      </c>
      <c r="AE11" s="18">
        <v>0</v>
      </c>
      <c r="AF11" s="50">
        <v>40.075000000000003</v>
      </c>
      <c r="AG11" s="59"/>
      <c r="AH11" s="18"/>
      <c r="AI11" s="59"/>
      <c r="AJ11" s="18"/>
      <c r="AK11" s="18"/>
      <c r="AL11" s="18"/>
      <c r="AM11" s="18"/>
      <c r="AN11" s="57"/>
      <c r="AO11" s="57"/>
      <c r="AP11" s="298">
        <f>IFERROR(R11/F11,0)</f>
        <v>0.48552499999999987</v>
      </c>
      <c r="AQ11" s="176">
        <f>IFERROR(S11/G11,0)</f>
        <v>0</v>
      </c>
      <c r="AR11" s="299">
        <f>IFERROR(T11/H11,0)</f>
        <v>0.66791666666666671</v>
      </c>
      <c r="AT11" s="56">
        <v>9659.4485350908817</v>
      </c>
      <c r="AU11" s="18">
        <v>0</v>
      </c>
      <c r="AV11" s="58"/>
      <c r="AW11" s="56">
        <f>AT11*R11/10^3</f>
        <v>375.19229999999993</v>
      </c>
      <c r="AX11" s="18">
        <f>AU11*S11/10^3</f>
        <v>0</v>
      </c>
      <c r="AY11" s="308"/>
      <c r="BA11" s="56">
        <f t="shared" si="2"/>
        <v>0</v>
      </c>
      <c r="BB11" s="18">
        <f>IF(AQ11&lt;95%,0,150)</f>
        <v>0</v>
      </c>
      <c r="BC11" s="58">
        <f>IF(AR11&lt;95%,0,150)</f>
        <v>0</v>
      </c>
      <c r="BD11" s="56">
        <f>_xlfn.XLOOKUP($E11,'1. CS Hỗ trợ vận chuyển'!$D$8:$D$42,'1. CS Hỗ trợ vận chuyển'!$H$8:$H$42)</f>
        <v>500</v>
      </c>
      <c r="BE11" s="18">
        <f>_xlfn.XLOOKUP($E11,'1. CS Hỗ trợ vận chuyển'!$D$8:$D$42,'1. CS Hỗ trợ vận chuyển'!$H$8:$H$42)</f>
        <v>500</v>
      </c>
      <c r="BF11" s="58">
        <f>_xlfn.XLOOKUP($E11,'1. CS Hỗ trợ vận chuyển'!$D$8:$D$42,'1. CS Hỗ trợ vận chuyển'!$H$8:$H$42)</f>
        <v>500</v>
      </c>
      <c r="BH11" s="56">
        <f>BA11*R11/10^3</f>
        <v>0</v>
      </c>
      <c r="BI11" s="18">
        <f>BB11*S11/10^3</f>
        <v>0</v>
      </c>
      <c r="BJ11" s="58">
        <f>BC11*T11/10^3</f>
        <v>0</v>
      </c>
      <c r="BK11" s="56">
        <f t="shared" si="0"/>
        <v>19.420999999999999</v>
      </c>
      <c r="BL11" s="57">
        <f>AE11*BE11/10^3</f>
        <v>0</v>
      </c>
      <c r="BM11" s="58">
        <f>AF11*BF11/10^3</f>
        <v>20.037500000000001</v>
      </c>
      <c r="BN11" s="56"/>
      <c r="BO11" s="18"/>
      <c r="BP11" s="58"/>
      <c r="BQ11" s="56"/>
      <c r="BR11" s="18"/>
      <c r="BS11" s="308"/>
      <c r="BU11" s="56">
        <f t="shared" si="3"/>
        <v>19.420999999999999</v>
      </c>
      <c r="BV11" s="18">
        <f>SUM(BI11,BL11,BO11,BR11)</f>
        <v>0</v>
      </c>
      <c r="BW11" s="58">
        <f t="shared" si="1"/>
        <v>20.037500000000001</v>
      </c>
      <c r="BY11" s="56">
        <f>IFERROR((SUM(BH11,BK11,BN11,BQ11)+(R11*AT11/10^3))/R11*10^3,0)</f>
        <v>10159.448535090882</v>
      </c>
      <c r="BZ11" s="18">
        <f>IFERROR((SUM(BI11,BL11,BO11,BR11)+(S11*AU11/10^3))/S11*10^3,0)</f>
        <v>0</v>
      </c>
      <c r="CA11" s="58"/>
      <c r="CB11" s="56">
        <v>10000</v>
      </c>
      <c r="CC11" s="18">
        <v>10000</v>
      </c>
      <c r="CD11" s="58">
        <v>10000</v>
      </c>
      <c r="CE11" s="56"/>
      <c r="CF11" s="18"/>
      <c r="CG11" s="18"/>
      <c r="CH11" s="58"/>
      <c r="CI11" s="332"/>
      <c r="CJ11" s="18"/>
      <c r="CK11" s="18"/>
      <c r="CL11" s="58"/>
      <c r="CM11" s="313"/>
      <c r="CN11" s="56"/>
      <c r="CO11" s="18"/>
      <c r="CP11" s="18"/>
      <c r="CQ11" s="58"/>
    </row>
    <row r="12" spans="1:96" x14ac:dyDescent="0.35">
      <c r="A12" s="55">
        <f>ROWS($A$7:A12)</f>
        <v>6</v>
      </c>
      <c r="B12" s="14" t="s">
        <v>25</v>
      </c>
      <c r="C12" s="14" t="s">
        <v>135</v>
      </c>
      <c r="D12" s="175" t="s">
        <v>136</v>
      </c>
      <c r="E12" s="289" t="s">
        <v>30</v>
      </c>
      <c r="F12" s="56">
        <v>50</v>
      </c>
      <c r="G12" s="18">
        <v>30</v>
      </c>
      <c r="H12" s="262">
        <v>60</v>
      </c>
      <c r="I12" s="18">
        <v>70</v>
      </c>
      <c r="J12" s="18">
        <v>70</v>
      </c>
      <c r="K12" s="18">
        <v>70</v>
      </c>
      <c r="L12" s="18">
        <v>90</v>
      </c>
      <c r="M12" s="18">
        <v>100</v>
      </c>
      <c r="N12" s="18">
        <v>100</v>
      </c>
      <c r="O12" s="18">
        <v>100</v>
      </c>
      <c r="P12" s="18">
        <v>80</v>
      </c>
      <c r="Q12" s="58">
        <v>80</v>
      </c>
      <c r="R12" s="56">
        <v>62.456000000000003</v>
      </c>
      <c r="S12" s="18">
        <v>16.619999999999997</v>
      </c>
      <c r="T12" s="18">
        <f>71823/10^3</f>
        <v>71.822999999999993</v>
      </c>
      <c r="U12" s="59"/>
      <c r="V12" s="18"/>
      <c r="W12" s="59"/>
      <c r="X12" s="18"/>
      <c r="Y12" s="18"/>
      <c r="Z12" s="18"/>
      <c r="AA12" s="18"/>
      <c r="AB12" s="57"/>
      <c r="AC12" s="57"/>
      <c r="AD12" s="56">
        <v>62.456000000000003</v>
      </c>
      <c r="AE12" s="18">
        <v>16.619999999999997</v>
      </c>
      <c r="AF12" s="50">
        <v>71.822999999999993</v>
      </c>
      <c r="AG12" s="59"/>
      <c r="AH12" s="18"/>
      <c r="AI12" s="59"/>
      <c r="AJ12" s="18"/>
      <c r="AK12" s="18"/>
      <c r="AL12" s="18"/>
      <c r="AM12" s="18"/>
      <c r="AN12" s="57"/>
      <c r="AO12" s="57"/>
      <c r="AP12" s="298">
        <f>IFERROR(R12/F12,0)</f>
        <v>1.24912</v>
      </c>
      <c r="AQ12" s="176">
        <f>IFERROR(S12/G12,0)</f>
        <v>0.55399999999999994</v>
      </c>
      <c r="AR12" s="299">
        <f>IFERROR(T12/H12,0)</f>
        <v>1.1970499999999999</v>
      </c>
      <c r="AT12" s="56">
        <v>9962.1077238375801</v>
      </c>
      <c r="AU12" s="18">
        <v>9800.0000000000018</v>
      </c>
      <c r="AV12" s="58"/>
      <c r="AW12" s="56">
        <f>AT12*R12/10^3</f>
        <v>622.19339999999988</v>
      </c>
      <c r="AX12" s="18">
        <f>AU12*S12/10^3</f>
        <v>162.876</v>
      </c>
      <c r="AY12" s="308"/>
      <c r="BA12" s="56">
        <f t="shared" si="2"/>
        <v>150</v>
      </c>
      <c r="BB12" s="18">
        <f>IF(AQ12&lt;95%,0,150)</f>
        <v>0</v>
      </c>
      <c r="BC12" s="58">
        <f>IF(AR12&lt;95%,0,150)</f>
        <v>150</v>
      </c>
      <c r="BD12" s="56">
        <f>_xlfn.XLOOKUP($E12,'1. CS Hỗ trợ vận chuyển'!$D$8:$D$42,'1. CS Hỗ trợ vận chuyển'!$H$8:$H$42)</f>
        <v>500</v>
      </c>
      <c r="BE12" s="18">
        <f>_xlfn.XLOOKUP($E12,'1. CS Hỗ trợ vận chuyển'!$D$8:$D$42,'1. CS Hỗ trợ vận chuyển'!$H$8:$H$42)</f>
        <v>500</v>
      </c>
      <c r="BF12" s="58">
        <f>_xlfn.XLOOKUP($E12,'1. CS Hỗ trợ vận chuyển'!$D$8:$D$42,'1. CS Hỗ trợ vận chuyển'!$H$8:$H$42)</f>
        <v>500</v>
      </c>
      <c r="BH12" s="56">
        <f>BA12*R12/10^3</f>
        <v>9.3683999999999994</v>
      </c>
      <c r="BI12" s="18">
        <f>BB12*S12/10^3</f>
        <v>0</v>
      </c>
      <c r="BJ12" s="58">
        <f>BC12*T12/10^3</f>
        <v>10.773449999999999</v>
      </c>
      <c r="BK12" s="56">
        <f t="shared" si="0"/>
        <v>31.228000000000002</v>
      </c>
      <c r="BL12" s="57">
        <f>AE12*BE12/10^3</f>
        <v>8.3099999999999987</v>
      </c>
      <c r="BM12" s="58">
        <f>AF12*BF12/10^3</f>
        <v>35.911499999999997</v>
      </c>
      <c r="BN12" s="56"/>
      <c r="BO12" s="18"/>
      <c r="BP12" s="58"/>
      <c r="BQ12" s="56"/>
      <c r="BR12" s="18"/>
      <c r="BS12" s="308"/>
      <c r="BU12" s="56">
        <f t="shared" si="3"/>
        <v>40.596400000000003</v>
      </c>
      <c r="BV12" s="18">
        <f>SUM(BI12,BL12,BO12,BR12)</f>
        <v>8.3099999999999987</v>
      </c>
      <c r="BW12" s="58">
        <f t="shared" si="1"/>
        <v>46.684949999999994</v>
      </c>
      <c r="BY12" s="56">
        <f>IFERROR((SUM(BH12,BK12,BN12,BQ12)+(R12*AT12/10^3))/R12*10^3,0)</f>
        <v>10612.10772383758</v>
      </c>
      <c r="BZ12" s="18">
        <f>IFERROR((SUM(BI12,BL12,BO12,BR12)+(S12*AU12/10^3))/S12*10^3,0)</f>
        <v>10300.000000000002</v>
      </c>
      <c r="CA12" s="58"/>
      <c r="CB12" s="56">
        <v>10000</v>
      </c>
      <c r="CC12" s="18">
        <v>10000</v>
      </c>
      <c r="CD12" s="58">
        <v>10000</v>
      </c>
      <c r="CE12" s="56"/>
      <c r="CF12" s="18"/>
      <c r="CG12" s="18"/>
      <c r="CH12" s="58"/>
      <c r="CI12" s="332"/>
      <c r="CJ12" s="18"/>
      <c r="CK12" s="18"/>
      <c r="CL12" s="58"/>
      <c r="CM12" s="313"/>
      <c r="CN12" s="56"/>
      <c r="CO12" s="18"/>
      <c r="CP12" s="18"/>
      <c r="CQ12" s="58"/>
    </row>
    <row r="13" spans="1:96" x14ac:dyDescent="0.35">
      <c r="A13" s="55">
        <f>ROWS($A$7:A13)</f>
        <v>7</v>
      </c>
      <c r="B13" s="14" t="s">
        <v>25</v>
      </c>
      <c r="C13" s="14" t="s">
        <v>137</v>
      </c>
      <c r="D13" s="175" t="s">
        <v>230</v>
      </c>
      <c r="E13" s="289" t="s">
        <v>34</v>
      </c>
      <c r="F13" s="56">
        <v>80</v>
      </c>
      <c r="G13" s="18">
        <v>40</v>
      </c>
      <c r="H13" s="18">
        <v>100</v>
      </c>
      <c r="I13" s="18"/>
      <c r="J13" s="18"/>
      <c r="K13" s="18"/>
      <c r="L13" s="18"/>
      <c r="M13" s="18"/>
      <c r="N13" s="18"/>
      <c r="O13" s="18"/>
      <c r="P13" s="18"/>
      <c r="Q13" s="58"/>
      <c r="R13" s="56">
        <v>136.23099999999999</v>
      </c>
      <c r="S13" s="18">
        <v>47.680000000000007</v>
      </c>
      <c r="T13" s="18">
        <f>131462/10^3</f>
        <v>131.46199999999999</v>
      </c>
      <c r="U13" s="59"/>
      <c r="V13" s="18"/>
      <c r="W13" s="59"/>
      <c r="X13" s="18"/>
      <c r="Y13" s="18"/>
      <c r="Z13" s="18"/>
      <c r="AA13" s="18"/>
      <c r="AB13" s="57"/>
      <c r="AC13" s="57"/>
      <c r="AD13" s="56">
        <v>136.23099999999999</v>
      </c>
      <c r="AE13" s="18">
        <v>47.680000000000007</v>
      </c>
      <c r="AF13" s="50">
        <v>131.46199999999999</v>
      </c>
      <c r="AG13" s="59"/>
      <c r="AH13" s="18"/>
      <c r="AI13" s="59"/>
      <c r="AJ13" s="18"/>
      <c r="AK13" s="18"/>
      <c r="AL13" s="18"/>
      <c r="AM13" s="18"/>
      <c r="AN13" s="57"/>
      <c r="AO13" s="57"/>
      <c r="AP13" s="298">
        <f>IFERROR(R13/F13,0)</f>
        <v>1.7028874999999999</v>
      </c>
      <c r="AQ13" s="176">
        <f>IFERROR(S13/G13,0)</f>
        <v>1.1920000000000002</v>
      </c>
      <c r="AR13" s="299">
        <f>IFERROR(T13/H13,0)</f>
        <v>1.3146199999999999</v>
      </c>
      <c r="AT13" s="56">
        <v>10000</v>
      </c>
      <c r="AU13" s="18">
        <v>9709.6329697986566</v>
      </c>
      <c r="AV13" s="58"/>
      <c r="AW13" s="56">
        <f>AT13*R13/10^3</f>
        <v>1362.31</v>
      </c>
      <c r="AX13" s="18">
        <f>AU13*S13/10^3</f>
        <v>462.95529999999997</v>
      </c>
      <c r="AY13" s="308"/>
      <c r="BA13" s="56">
        <f t="shared" si="2"/>
        <v>150</v>
      </c>
      <c r="BB13" s="18">
        <f>IF(AQ13&lt;95%,0,150)</f>
        <v>150</v>
      </c>
      <c r="BC13" s="58">
        <f>IF(AR13&lt;95%,0,150)</f>
        <v>150</v>
      </c>
      <c r="BD13" s="56">
        <f>_xlfn.XLOOKUP($E13,'1. CS Hỗ trợ vận chuyển'!$D$8:$D$42,'1. CS Hỗ trợ vận chuyển'!$H$8:$H$42)</f>
        <v>500</v>
      </c>
      <c r="BE13" s="18">
        <f>_xlfn.XLOOKUP($E13,'1. CS Hỗ trợ vận chuyển'!$D$8:$D$42,'1. CS Hỗ trợ vận chuyển'!$H$8:$H$42)</f>
        <v>500</v>
      </c>
      <c r="BF13" s="58">
        <f>_xlfn.XLOOKUP($E13,'1. CS Hỗ trợ vận chuyển'!$D$8:$D$42,'1. CS Hỗ trợ vận chuyển'!$H$8:$H$42)</f>
        <v>500</v>
      </c>
      <c r="BH13" s="56">
        <f>BA13*R13/10^3</f>
        <v>20.434649999999998</v>
      </c>
      <c r="BI13" s="18">
        <f>BB13*S13/10^3</f>
        <v>7.152000000000001</v>
      </c>
      <c r="BJ13" s="58">
        <f>BC13*T13/10^3</f>
        <v>19.7193</v>
      </c>
      <c r="BK13" s="56">
        <f t="shared" si="0"/>
        <v>68.115499999999997</v>
      </c>
      <c r="BL13" s="57">
        <f>AE13*BE13/10^3</f>
        <v>23.840000000000003</v>
      </c>
      <c r="BM13" s="58">
        <f>AF13*BF13/10^3</f>
        <v>65.730999999999995</v>
      </c>
      <c r="BN13" s="56"/>
      <c r="BO13" s="18"/>
      <c r="BP13" s="58"/>
      <c r="BQ13" s="56"/>
      <c r="BR13" s="18"/>
      <c r="BS13" s="308"/>
      <c r="BU13" s="56">
        <f t="shared" si="3"/>
        <v>88.550150000000002</v>
      </c>
      <c r="BV13" s="18">
        <f>SUM(BI13,BL13,BO13,BR13)</f>
        <v>30.992000000000004</v>
      </c>
      <c r="BW13" s="58">
        <f t="shared" si="1"/>
        <v>85.450299999999999</v>
      </c>
      <c r="BY13" s="56">
        <f>IFERROR((SUM(BH13,BK13,BN13,BQ13)+(R13*AT13/10^3))/R13*10^3,0)</f>
        <v>10650</v>
      </c>
      <c r="BZ13" s="18">
        <f>IFERROR((SUM(BI13,BL13,BO13,BR13)+(S13*AU13/10^3))/S13*10^3,0)</f>
        <v>10359.632969798655</v>
      </c>
      <c r="CA13" s="58"/>
      <c r="CB13" s="56">
        <v>10000</v>
      </c>
      <c r="CC13" s="18">
        <v>10000</v>
      </c>
      <c r="CD13" s="58">
        <v>10000</v>
      </c>
      <c r="CE13" s="56"/>
      <c r="CF13" s="18"/>
      <c r="CG13" s="18"/>
      <c r="CH13" s="58"/>
      <c r="CI13" s="332"/>
      <c r="CJ13" s="18"/>
      <c r="CK13" s="18"/>
      <c r="CL13" s="58"/>
      <c r="CM13" s="313"/>
      <c r="CN13" s="56"/>
      <c r="CO13" s="18"/>
      <c r="CP13" s="18"/>
      <c r="CQ13" s="58"/>
    </row>
    <row r="14" spans="1:96" x14ac:dyDescent="0.35">
      <c r="A14" s="55">
        <f>ROWS($A$7:A14)</f>
        <v>8</v>
      </c>
      <c r="B14" s="14" t="s">
        <v>25</v>
      </c>
      <c r="C14" s="14" t="s">
        <v>127</v>
      </c>
      <c r="D14" s="175" t="s">
        <v>231</v>
      </c>
      <c r="E14" s="289" t="s">
        <v>47</v>
      </c>
      <c r="F14" s="56">
        <v>15</v>
      </c>
      <c r="G14" s="18"/>
      <c r="H14" s="18"/>
      <c r="I14" s="18"/>
      <c r="J14" s="18"/>
      <c r="K14" s="18"/>
      <c r="L14" s="18"/>
      <c r="M14" s="18"/>
      <c r="N14" s="18"/>
      <c r="O14" s="18"/>
      <c r="P14" s="18"/>
      <c r="Q14" s="58"/>
      <c r="R14" s="56">
        <v>12.452999999999999</v>
      </c>
      <c r="S14" s="18">
        <v>0</v>
      </c>
      <c r="T14" s="18">
        <v>0</v>
      </c>
      <c r="U14" s="59"/>
      <c r="V14" s="18"/>
      <c r="W14" s="59"/>
      <c r="X14" s="18"/>
      <c r="Y14" s="18"/>
      <c r="Z14" s="18"/>
      <c r="AA14" s="18"/>
      <c r="AB14" s="57"/>
      <c r="AC14" s="57"/>
      <c r="AD14" s="56">
        <v>12.452999999999999</v>
      </c>
      <c r="AE14" s="18">
        <v>0</v>
      </c>
      <c r="AF14" s="50">
        <v>0</v>
      </c>
      <c r="AG14" s="59"/>
      <c r="AH14" s="18"/>
      <c r="AI14" s="59"/>
      <c r="AJ14" s="18"/>
      <c r="AK14" s="18"/>
      <c r="AL14" s="18"/>
      <c r="AM14" s="18"/>
      <c r="AN14" s="57"/>
      <c r="AO14" s="57"/>
      <c r="AP14" s="298">
        <f>IFERROR(R14/F14,0)</f>
        <v>0.83019999999999994</v>
      </c>
      <c r="AQ14" s="176">
        <f>IFERROR(S14/G14,0)</f>
        <v>0</v>
      </c>
      <c r="AR14" s="299">
        <f>IFERROR(T14/H14,0)</f>
        <v>0</v>
      </c>
      <c r="AT14" s="56"/>
      <c r="AU14" s="18"/>
      <c r="AV14" s="58"/>
      <c r="AW14" s="56">
        <f>AT14*R14/10^3</f>
        <v>0</v>
      </c>
      <c r="AX14" s="18">
        <f>AU14*S14/10^3</f>
        <v>0</v>
      </c>
      <c r="AY14" s="308"/>
      <c r="BA14" s="56">
        <f t="shared" si="2"/>
        <v>0</v>
      </c>
      <c r="BB14" s="18">
        <f>IF(AQ14&lt;95%,0,150)</f>
        <v>0</v>
      </c>
      <c r="BC14" s="58">
        <f>IF(AR14&lt;95%,0,150)</f>
        <v>0</v>
      </c>
      <c r="BD14" s="56">
        <f>_xlfn.XLOOKUP($E14,'1. CS Hỗ trợ vận chuyển'!$D$8:$D$42,'1. CS Hỗ trợ vận chuyển'!$H$8:$H$42)</f>
        <v>400</v>
      </c>
      <c r="BE14" s="18">
        <f>_xlfn.XLOOKUP($E14,'1. CS Hỗ trợ vận chuyển'!$D$8:$D$42,'1. CS Hỗ trợ vận chuyển'!$H$8:$H$42)</f>
        <v>400</v>
      </c>
      <c r="BF14" s="58">
        <f>_xlfn.XLOOKUP($E14,'1. CS Hỗ trợ vận chuyển'!$D$8:$D$42,'1. CS Hỗ trợ vận chuyển'!$H$8:$H$42)</f>
        <v>400</v>
      </c>
      <c r="BH14" s="56">
        <f>BA14*R14/10^3</f>
        <v>0</v>
      </c>
      <c r="BI14" s="18">
        <f>BB14*S14/10^3</f>
        <v>0</v>
      </c>
      <c r="BJ14" s="58">
        <f>BC14*T14/10^3</f>
        <v>0</v>
      </c>
      <c r="BK14" s="56">
        <f>AD14*BD14/10^3</f>
        <v>4.9811999999999994</v>
      </c>
      <c r="BL14" s="57">
        <f>AE14*BE14/10^3</f>
        <v>0</v>
      </c>
      <c r="BM14" s="58">
        <f>AF14*BF14/10^3</f>
        <v>0</v>
      </c>
      <c r="BN14" s="56"/>
      <c r="BO14" s="18"/>
      <c r="BP14" s="58"/>
      <c r="BQ14" s="56"/>
      <c r="BR14" s="18"/>
      <c r="BS14" s="308"/>
      <c r="BU14" s="56">
        <f t="shared" ref="BU14:BU15" si="4">SUM(BH14,BK14,BN14,BQ14)</f>
        <v>4.9811999999999994</v>
      </c>
      <c r="BV14" s="18">
        <f t="shared" ref="BV14:BV15" si="5">SUM(BI14,BL14,BO14,BR14)</f>
        <v>0</v>
      </c>
      <c r="BW14" s="58">
        <f t="shared" si="1"/>
        <v>0</v>
      </c>
      <c r="BY14" s="56"/>
      <c r="BZ14" s="18"/>
      <c r="CA14" s="58"/>
      <c r="CB14" s="56"/>
      <c r="CC14" s="18"/>
      <c r="CD14" s="58"/>
      <c r="CE14" s="56"/>
      <c r="CF14" s="18"/>
      <c r="CG14" s="18"/>
      <c r="CH14" s="58"/>
      <c r="CI14" s="332"/>
      <c r="CJ14" s="18"/>
      <c r="CK14" s="18"/>
      <c r="CL14" s="58"/>
      <c r="CM14" s="313"/>
      <c r="CN14" s="56"/>
      <c r="CO14" s="18"/>
      <c r="CP14" s="18"/>
      <c r="CQ14" s="58"/>
    </row>
    <row r="15" spans="1:96" x14ac:dyDescent="0.35">
      <c r="A15" s="55">
        <f>ROWS($A$7:A15)</f>
        <v>9</v>
      </c>
      <c r="B15" s="14" t="s">
        <v>25</v>
      </c>
      <c r="C15" s="14" t="s">
        <v>232</v>
      </c>
      <c r="D15" s="175" t="s">
        <v>233</v>
      </c>
      <c r="E15" s="289" t="s">
        <v>29</v>
      </c>
      <c r="F15" s="56"/>
      <c r="G15" s="18"/>
      <c r="H15" s="18">
        <v>60</v>
      </c>
      <c r="I15" s="18"/>
      <c r="J15" s="18"/>
      <c r="K15" s="18"/>
      <c r="L15" s="18"/>
      <c r="M15" s="18"/>
      <c r="N15" s="18"/>
      <c r="O15" s="18"/>
      <c r="P15" s="18"/>
      <c r="Q15" s="58"/>
      <c r="R15" s="56">
        <v>0</v>
      </c>
      <c r="S15" s="18">
        <v>0</v>
      </c>
      <c r="T15" s="18">
        <f>63790/10^3</f>
        <v>63.79</v>
      </c>
      <c r="U15" s="59"/>
      <c r="V15" s="18"/>
      <c r="W15" s="59"/>
      <c r="X15" s="18"/>
      <c r="Y15" s="18"/>
      <c r="Z15" s="18"/>
      <c r="AA15" s="18"/>
      <c r="AB15" s="57"/>
      <c r="AC15" s="57"/>
      <c r="AD15" s="56">
        <v>0</v>
      </c>
      <c r="AE15" s="18">
        <v>0</v>
      </c>
      <c r="AF15" s="50">
        <v>63.79</v>
      </c>
      <c r="AG15" s="59"/>
      <c r="AH15" s="18"/>
      <c r="AI15" s="59"/>
      <c r="AJ15" s="18"/>
      <c r="AK15" s="18"/>
      <c r="AL15" s="18"/>
      <c r="AM15" s="18"/>
      <c r="AN15" s="57"/>
      <c r="AO15" s="57"/>
      <c r="AP15" s="296">
        <f>IFERROR(R15/F15,0)</f>
        <v>0</v>
      </c>
      <c r="AQ15" s="51">
        <f>IFERROR(S15/G15,0)</f>
        <v>0</v>
      </c>
      <c r="AR15" s="297">
        <f>IFERROR(T15/H15,0)</f>
        <v>1.0631666666666666</v>
      </c>
      <c r="AT15" s="56"/>
      <c r="AU15" s="18"/>
      <c r="AV15" s="58"/>
      <c r="AW15" s="56">
        <f>AT15*R15/10^3</f>
        <v>0</v>
      </c>
      <c r="AX15" s="18">
        <f>AU15*S15/10^3</f>
        <v>0</v>
      </c>
      <c r="AY15" s="308"/>
      <c r="BA15" s="56">
        <f t="shared" si="2"/>
        <v>0</v>
      </c>
      <c r="BB15" s="18">
        <f>IF(AQ15&lt;95%,0,150)</f>
        <v>0</v>
      </c>
      <c r="BC15" s="58">
        <f>IF(AR15&lt;95%,0,150)</f>
        <v>150</v>
      </c>
      <c r="BD15" s="56">
        <f>_xlfn.XLOOKUP($E15,'1. CS Hỗ trợ vận chuyển'!$D$8:$D$42,'1. CS Hỗ trợ vận chuyển'!$H$8:$H$42)</f>
        <v>500</v>
      </c>
      <c r="BE15" s="18">
        <f>_xlfn.XLOOKUP($E15,'1. CS Hỗ trợ vận chuyển'!$D$8:$D$42,'1. CS Hỗ trợ vận chuyển'!$H$8:$H$42)</f>
        <v>500</v>
      </c>
      <c r="BF15" s="58">
        <f>_xlfn.XLOOKUP($E15,'1. CS Hỗ trợ vận chuyển'!$D$8:$D$42,'1. CS Hỗ trợ vận chuyển'!$H$8:$H$42)</f>
        <v>500</v>
      </c>
      <c r="BH15" s="56">
        <f>BA15*R15/10^3</f>
        <v>0</v>
      </c>
      <c r="BI15" s="18">
        <f>BB15*S15/10^3</f>
        <v>0</v>
      </c>
      <c r="BJ15" s="58">
        <f>BC15*T15/10^3</f>
        <v>9.5685000000000002</v>
      </c>
      <c r="BK15" s="56">
        <f t="shared" ref="BK15" si="6">AD15*BD15/10^3</f>
        <v>0</v>
      </c>
      <c r="BL15" s="57">
        <f>AE15*BE15/10^3</f>
        <v>0</v>
      </c>
      <c r="BM15" s="58">
        <f>AF15*BF15/10^3</f>
        <v>31.895</v>
      </c>
      <c r="BN15" s="56"/>
      <c r="BO15" s="18"/>
      <c r="BP15" s="58"/>
      <c r="BQ15" s="56"/>
      <c r="BR15" s="18"/>
      <c r="BS15" s="308"/>
      <c r="BU15" s="56">
        <f t="shared" si="4"/>
        <v>0</v>
      </c>
      <c r="BV15" s="18">
        <f t="shared" si="5"/>
        <v>0</v>
      </c>
      <c r="BW15" s="58">
        <f t="shared" si="1"/>
        <v>41.463499999999996</v>
      </c>
      <c r="BY15" s="56"/>
      <c r="BZ15" s="18"/>
      <c r="CA15" s="58"/>
      <c r="CB15" s="56"/>
      <c r="CC15" s="18"/>
      <c r="CD15" s="58"/>
      <c r="CE15" s="56"/>
      <c r="CF15" s="18"/>
      <c r="CG15" s="18"/>
      <c r="CH15" s="58"/>
      <c r="CI15" s="332"/>
      <c r="CJ15" s="18"/>
      <c r="CK15" s="18"/>
      <c r="CL15" s="58"/>
      <c r="CM15" s="313"/>
      <c r="CN15" s="56"/>
      <c r="CO15" s="18"/>
      <c r="CP15" s="18"/>
      <c r="CQ15" s="58"/>
    </row>
    <row r="16" spans="1:96" s="203" customFormat="1" x14ac:dyDescent="0.35">
      <c r="A16" s="206"/>
      <c r="B16" s="207" t="s">
        <v>1248</v>
      </c>
      <c r="C16" s="207"/>
      <c r="D16" s="207"/>
      <c r="E16" s="207"/>
      <c r="F16" s="209">
        <f>SUM(F7:F15)</f>
        <v>585</v>
      </c>
      <c r="G16" s="210">
        <f t="shared" ref="G16:AF16" si="7">SUM(G7:G15)</f>
        <v>320</v>
      </c>
      <c r="H16" s="210">
        <f t="shared" si="7"/>
        <v>620</v>
      </c>
      <c r="I16" s="210">
        <f t="shared" si="7"/>
        <v>550</v>
      </c>
      <c r="J16" s="210">
        <f t="shared" si="7"/>
        <v>570</v>
      </c>
      <c r="K16" s="210">
        <f t="shared" si="7"/>
        <v>590</v>
      </c>
      <c r="L16" s="210">
        <f t="shared" si="7"/>
        <v>630</v>
      </c>
      <c r="M16" s="210">
        <f t="shared" si="7"/>
        <v>640</v>
      </c>
      <c r="N16" s="210">
        <f t="shared" si="7"/>
        <v>640</v>
      </c>
      <c r="O16" s="210">
        <f t="shared" si="7"/>
        <v>580</v>
      </c>
      <c r="P16" s="210">
        <f t="shared" si="7"/>
        <v>540</v>
      </c>
      <c r="Q16" s="212">
        <f t="shared" si="7"/>
        <v>560</v>
      </c>
      <c r="R16" s="209">
        <f t="shared" si="7"/>
        <v>712.93499999999983</v>
      </c>
      <c r="S16" s="210">
        <f t="shared" si="7"/>
        <v>445.09199999999993</v>
      </c>
      <c r="T16" s="210">
        <f t="shared" si="7"/>
        <v>645.14099999999996</v>
      </c>
      <c r="U16" s="214">
        <f t="shared" si="7"/>
        <v>0</v>
      </c>
      <c r="V16" s="210">
        <f t="shared" si="7"/>
        <v>0</v>
      </c>
      <c r="W16" s="214">
        <f t="shared" ref="W16" si="8">SUM(W7:W15)</f>
        <v>0</v>
      </c>
      <c r="X16" s="210">
        <f t="shared" ref="X16" si="9">SUM(X7:X15)</f>
        <v>0</v>
      </c>
      <c r="Y16" s="210">
        <f t="shared" ref="Y16" si="10">SUM(Y7:Y15)</f>
        <v>0</v>
      </c>
      <c r="Z16" s="210">
        <f t="shared" ref="Z16" si="11">SUM(Z7:Z15)</f>
        <v>0</v>
      </c>
      <c r="AA16" s="210">
        <f t="shared" ref="AA16:AB16" si="12">SUM(AA7:AA15)</f>
        <v>0</v>
      </c>
      <c r="AB16" s="210">
        <f t="shared" si="12"/>
        <v>0</v>
      </c>
      <c r="AC16" s="213">
        <f t="shared" ref="AC16" si="13">SUM(AC7:AC15)</f>
        <v>0</v>
      </c>
      <c r="AD16" s="209">
        <f t="shared" si="7"/>
        <v>712.93499999999983</v>
      </c>
      <c r="AE16" s="210">
        <f t="shared" si="7"/>
        <v>445.09199999999993</v>
      </c>
      <c r="AF16" s="343">
        <f t="shared" si="7"/>
        <v>645.14099999999996</v>
      </c>
      <c r="AG16" s="214">
        <f t="shared" ref="AG16" si="14">SUM(AG7:AG15)</f>
        <v>0</v>
      </c>
      <c r="AH16" s="210">
        <f t="shared" ref="AH16" si="15">SUM(AH7:AH15)</f>
        <v>0</v>
      </c>
      <c r="AI16" s="214">
        <f t="shared" ref="AI16" si="16">SUM(AI7:AI15)</f>
        <v>0</v>
      </c>
      <c r="AJ16" s="210">
        <f t="shared" ref="AJ16" si="17">SUM(AJ7:AJ15)</f>
        <v>0</v>
      </c>
      <c r="AK16" s="210">
        <f t="shared" ref="AK16" si="18">SUM(AK7:AK15)</f>
        <v>0</v>
      </c>
      <c r="AL16" s="210">
        <f t="shared" ref="AL16" si="19">SUM(AL7:AL15)</f>
        <v>0</v>
      </c>
      <c r="AM16" s="210">
        <f t="shared" ref="AM16" si="20">SUM(AM7:AM15)</f>
        <v>0</v>
      </c>
      <c r="AN16" s="210">
        <f t="shared" ref="AN16" si="21">SUM(AN7:AN15)</f>
        <v>0</v>
      </c>
      <c r="AO16" s="213">
        <f t="shared" ref="AO16" si="22">SUM(AO7:AO15)</f>
        <v>0</v>
      </c>
      <c r="AP16" s="300">
        <f>IFERROR(R16/F16,0)</f>
        <v>1.2186923076923073</v>
      </c>
      <c r="AQ16" s="211">
        <f>IFERROR(S16/G16,0)</f>
        <v>1.3909124999999998</v>
      </c>
      <c r="AR16" s="301">
        <f>IFERROR(T16/H16,0)</f>
        <v>1.0405499999999999</v>
      </c>
      <c r="AS16" s="284"/>
      <c r="AT16" s="209"/>
      <c r="AU16" s="210"/>
      <c r="AV16" s="212"/>
      <c r="AW16" s="209">
        <f t="shared" ref="AW16" si="23">SUM(AW7:AW15)</f>
        <v>6949.2945999999993</v>
      </c>
      <c r="AX16" s="210">
        <f t="shared" ref="AX16" si="24">SUM(AX7:AX15)</f>
        <v>4304.0121586212435</v>
      </c>
      <c r="AY16" s="309"/>
      <c r="AZ16" s="284"/>
      <c r="BA16" s="209">
        <f t="shared" ref="BA16:BV16" si="25">SUM(BA7:BA15)</f>
        <v>900</v>
      </c>
      <c r="BB16" s="210">
        <f t="shared" si="25"/>
        <v>600</v>
      </c>
      <c r="BC16" s="212">
        <f t="shared" si="25"/>
        <v>900</v>
      </c>
      <c r="BD16" s="209">
        <f t="shared" si="25"/>
        <v>3900</v>
      </c>
      <c r="BE16" s="210">
        <f t="shared" si="25"/>
        <v>3900</v>
      </c>
      <c r="BF16" s="212">
        <f t="shared" si="25"/>
        <v>3900</v>
      </c>
      <c r="BG16" s="284"/>
      <c r="BH16" s="209">
        <f t="shared" si="25"/>
        <v>99.245999999999981</v>
      </c>
      <c r="BI16" s="210">
        <f t="shared" si="25"/>
        <v>58.742250000000006</v>
      </c>
      <c r="BJ16" s="212">
        <f t="shared" si="25"/>
        <v>86.578199999999995</v>
      </c>
      <c r="BK16" s="209">
        <f t="shared" si="25"/>
        <v>280.28069999999997</v>
      </c>
      <c r="BL16" s="213">
        <f t="shared" si="25"/>
        <v>156.49010000000001</v>
      </c>
      <c r="BM16" s="212">
        <f t="shared" si="25"/>
        <v>274.41409999999996</v>
      </c>
      <c r="BN16" s="209">
        <f t="shared" si="25"/>
        <v>0</v>
      </c>
      <c r="BO16" s="210">
        <f t="shared" si="25"/>
        <v>0</v>
      </c>
      <c r="BP16" s="212">
        <f t="shared" si="25"/>
        <v>0</v>
      </c>
      <c r="BQ16" s="209">
        <f t="shared" si="25"/>
        <v>0</v>
      </c>
      <c r="BR16" s="210">
        <f t="shared" si="25"/>
        <v>0</v>
      </c>
      <c r="BS16" s="309">
        <f t="shared" si="25"/>
        <v>0</v>
      </c>
      <c r="BT16" s="284"/>
      <c r="BU16" s="209">
        <f t="shared" si="25"/>
        <v>379.52669999999995</v>
      </c>
      <c r="BV16" s="210">
        <f t="shared" si="25"/>
        <v>215.23235000000005</v>
      </c>
      <c r="BW16" s="212">
        <f>SUM(BW7:BW15)</f>
        <v>360.9923</v>
      </c>
      <c r="BX16" s="284"/>
      <c r="BY16" s="209"/>
      <c r="BZ16" s="210"/>
      <c r="CA16" s="212"/>
      <c r="CB16" s="209"/>
      <c r="CC16" s="210"/>
      <c r="CD16" s="212"/>
      <c r="CE16" s="209"/>
      <c r="CF16" s="210"/>
      <c r="CG16" s="210"/>
      <c r="CH16" s="212"/>
      <c r="CI16" s="333"/>
      <c r="CJ16" s="210"/>
      <c r="CK16" s="210"/>
      <c r="CL16" s="212"/>
      <c r="CM16" s="314"/>
      <c r="CN16" s="209"/>
      <c r="CO16" s="210"/>
      <c r="CP16" s="210"/>
      <c r="CQ16" s="212"/>
    </row>
    <row r="17" spans="1:96" x14ac:dyDescent="0.35">
      <c r="A17" s="55">
        <f>ROWS($A$7:A17)</f>
        <v>11</v>
      </c>
      <c r="B17" s="14" t="s">
        <v>65</v>
      </c>
      <c r="C17" s="14" t="s">
        <v>139</v>
      </c>
      <c r="D17" s="175" t="s">
        <v>140</v>
      </c>
      <c r="E17" s="289" t="s">
        <v>59</v>
      </c>
      <c r="F17" s="56">
        <v>20</v>
      </c>
      <c r="G17" s="18">
        <v>20</v>
      </c>
      <c r="H17" s="18">
        <v>30</v>
      </c>
      <c r="I17" s="18">
        <v>40</v>
      </c>
      <c r="J17" s="18">
        <v>40</v>
      </c>
      <c r="K17" s="18">
        <v>40</v>
      </c>
      <c r="L17" s="18">
        <v>50</v>
      </c>
      <c r="M17" s="18">
        <v>50</v>
      </c>
      <c r="N17" s="18">
        <v>50</v>
      </c>
      <c r="O17" s="18">
        <v>60</v>
      </c>
      <c r="P17" s="18">
        <v>60</v>
      </c>
      <c r="Q17" s="58">
        <v>60</v>
      </c>
      <c r="R17" s="56">
        <v>7.8460000000000001</v>
      </c>
      <c r="S17" s="18">
        <v>20.579000000000001</v>
      </c>
      <c r="T17" s="18">
        <v>8.8109999999999999</v>
      </c>
      <c r="U17" s="59"/>
      <c r="V17" s="18"/>
      <c r="W17" s="59"/>
      <c r="X17" s="18"/>
      <c r="Y17" s="18"/>
      <c r="Z17" s="18"/>
      <c r="AA17" s="18"/>
      <c r="AB17" s="57"/>
      <c r="AC17" s="57"/>
      <c r="AD17" s="56">
        <v>7.8460000000000001</v>
      </c>
      <c r="AE17" s="18">
        <v>20.579000000000001</v>
      </c>
      <c r="AF17" s="50">
        <v>8.8109999999999999</v>
      </c>
      <c r="AG17" s="59"/>
      <c r="AH17" s="18"/>
      <c r="AI17" s="59"/>
      <c r="AJ17" s="18"/>
      <c r="AK17" s="18"/>
      <c r="AL17" s="18"/>
      <c r="AM17" s="18"/>
      <c r="AN17" s="57"/>
      <c r="AO17" s="57"/>
      <c r="AP17" s="298">
        <f>IFERROR(R17/F17,0)</f>
        <v>0.39229999999999998</v>
      </c>
      <c r="AQ17" s="51">
        <f>IFERROR(S17/G17,0)</f>
        <v>1.02895</v>
      </c>
      <c r="AR17" s="297">
        <f>IFERROR(T17/H17,0)</f>
        <v>0.29370000000000002</v>
      </c>
      <c r="AT17" s="56">
        <v>9700</v>
      </c>
      <c r="AU17" s="18">
        <v>9472.6688867745015</v>
      </c>
      <c r="AV17" s="58"/>
      <c r="AW17" s="56">
        <f>AT17*R17/10^3</f>
        <v>76.106200000000001</v>
      </c>
      <c r="AX17" s="18">
        <f>AU17*S17/10^3</f>
        <v>194.93805302093247</v>
      </c>
      <c r="AY17" s="308">
        <f>AV17*T17/10^3</f>
        <v>0</v>
      </c>
      <c r="BA17" s="56">
        <f t="shared" ref="BA17:BA18" si="26">IF(AP17&lt;95%,0,150)</f>
        <v>0</v>
      </c>
      <c r="BB17" s="18">
        <f>IF(AQ17&lt;95%,0,150)</f>
        <v>150</v>
      </c>
      <c r="BC17" s="58">
        <f>IF(AR17&lt;95%,0,150)</f>
        <v>0</v>
      </c>
      <c r="BD17" s="56">
        <f>_xlfn.XLOOKUP($E17,'1. CS Hỗ trợ vận chuyển'!$D$8:$D$42,'1. CS Hỗ trợ vận chuyển'!$H$8:$H$42)</f>
        <v>400</v>
      </c>
      <c r="BE17" s="18">
        <f>_xlfn.XLOOKUP($E17,'1. CS Hỗ trợ vận chuyển'!$D$8:$D$42,'1. CS Hỗ trợ vận chuyển'!$H$8:$H$42)</f>
        <v>400</v>
      </c>
      <c r="BF17" s="58">
        <f>_xlfn.XLOOKUP($E17,'1. CS Hỗ trợ vận chuyển'!$D$8:$D$42,'1. CS Hỗ trợ vận chuyển'!$H$8:$H$42)</f>
        <v>400</v>
      </c>
      <c r="BH17" s="56">
        <f>BA17*R17/10^3</f>
        <v>0</v>
      </c>
      <c r="BI17" s="18">
        <f>BB17*S17/10^3</f>
        <v>3.0868500000000001</v>
      </c>
      <c r="BJ17" s="58">
        <f>BC17*T17/10^3</f>
        <v>0</v>
      </c>
      <c r="BK17" s="56">
        <f t="shared" si="0"/>
        <v>3.1384000000000003</v>
      </c>
      <c r="BL17" s="57">
        <f>AE17*BE17/10^3</f>
        <v>8.2316000000000003</v>
      </c>
      <c r="BM17" s="58">
        <f>AF17*BF17/10^3</f>
        <v>3.5244</v>
      </c>
      <c r="BN17" s="56">
        <f>10000000/10^6</f>
        <v>10</v>
      </c>
      <c r="BO17" s="18">
        <f>10000000/10^6</f>
        <v>10</v>
      </c>
      <c r="BP17" s="58">
        <v>10</v>
      </c>
      <c r="BQ17" s="56">
        <f>5000000/10^6</f>
        <v>5</v>
      </c>
      <c r="BR17" s="18">
        <f>5000000/10^6</f>
        <v>5</v>
      </c>
      <c r="BS17" s="308">
        <v>5</v>
      </c>
      <c r="BU17" s="56">
        <f t="shared" si="3"/>
        <v>18.138400000000001</v>
      </c>
      <c r="BV17" s="18">
        <f>SUM(BI17,BL17,BO17,BR17)</f>
        <v>26.318449999999999</v>
      </c>
      <c r="BW17" s="58">
        <f>SUM(BJ17,BM17,BP17,BS17)</f>
        <v>18.5244</v>
      </c>
      <c r="BY17" s="56">
        <f>IFERROR((SUM(BH17,BK17,BN17,BQ17)+(R17*AT17/10^3))/R17*10^3,0)</f>
        <v>12011.802192199848</v>
      </c>
      <c r="BZ17" s="18">
        <f>IFERROR((SUM(BI17,BL17,BO17,BR17)+(S17*AU17/10^3))/S17*10^3,0)</f>
        <v>10751.567278338718</v>
      </c>
      <c r="CA17" s="58"/>
      <c r="CB17" s="56">
        <v>10000</v>
      </c>
      <c r="CC17" s="18">
        <v>10000</v>
      </c>
      <c r="CD17" s="58">
        <v>10000</v>
      </c>
      <c r="CE17" s="56">
        <f>SUM(F17:H17)</f>
        <v>70</v>
      </c>
      <c r="CF17" s="18"/>
      <c r="CG17" s="18"/>
      <c r="CH17" s="58"/>
      <c r="CI17" s="332">
        <f>SUM(R17:T17)</f>
        <v>37.236000000000004</v>
      </c>
      <c r="CJ17" s="18"/>
      <c r="CK17" s="18"/>
      <c r="CL17" s="58"/>
      <c r="CM17" s="313">
        <f>IF(OR(CI17/CE17=1,CI17/CE17&gt;1),50,0)</f>
        <v>0</v>
      </c>
      <c r="CN17" s="56">
        <f>CI17*CM17*10^3</f>
        <v>0</v>
      </c>
      <c r="CO17" s="18"/>
      <c r="CP17" s="18"/>
      <c r="CQ17" s="58"/>
    </row>
    <row r="18" spans="1:96" x14ac:dyDescent="0.35">
      <c r="A18" s="55">
        <f>ROWS($A$7:A18)</f>
        <v>12</v>
      </c>
      <c r="B18" s="14" t="s">
        <v>65</v>
      </c>
      <c r="C18" s="14" t="s">
        <v>141</v>
      </c>
      <c r="D18" s="175" t="s">
        <v>142</v>
      </c>
      <c r="E18" s="289" t="s">
        <v>41</v>
      </c>
      <c r="F18" s="56">
        <v>25</v>
      </c>
      <c r="G18" s="18">
        <v>20</v>
      </c>
      <c r="H18" s="18">
        <v>40</v>
      </c>
      <c r="I18" s="18">
        <v>50</v>
      </c>
      <c r="J18" s="18">
        <v>50</v>
      </c>
      <c r="K18" s="18">
        <v>50</v>
      </c>
      <c r="L18" s="18">
        <v>60</v>
      </c>
      <c r="M18" s="18">
        <v>60</v>
      </c>
      <c r="N18" s="18">
        <v>60</v>
      </c>
      <c r="O18" s="18">
        <v>60</v>
      </c>
      <c r="P18" s="18">
        <v>60</v>
      </c>
      <c r="Q18" s="58">
        <v>60</v>
      </c>
      <c r="R18" s="56">
        <v>27.077000000000002</v>
      </c>
      <c r="S18" s="18">
        <v>20.286999999999999</v>
      </c>
      <c r="T18" s="18">
        <v>44.265000000000001</v>
      </c>
      <c r="U18" s="59"/>
      <c r="V18" s="18"/>
      <c r="W18" s="59"/>
      <c r="X18" s="18"/>
      <c r="Y18" s="18"/>
      <c r="Z18" s="18"/>
      <c r="AA18" s="18"/>
      <c r="AB18" s="57"/>
      <c r="AC18" s="57"/>
      <c r="AD18" s="56">
        <v>0</v>
      </c>
      <c r="AE18" s="18">
        <v>6.11</v>
      </c>
      <c r="AF18" s="50">
        <v>0</v>
      </c>
      <c r="AG18" s="59"/>
      <c r="AH18" s="18"/>
      <c r="AI18" s="59"/>
      <c r="AJ18" s="18"/>
      <c r="AK18" s="18"/>
      <c r="AL18" s="18"/>
      <c r="AM18" s="18"/>
      <c r="AN18" s="57"/>
      <c r="AO18" s="57"/>
      <c r="AP18" s="296">
        <f>IFERROR(R18/F18,0)</f>
        <v>1.08308</v>
      </c>
      <c r="AQ18" s="51">
        <f>IFERROR(S18/G18,0)</f>
        <v>1.0143499999999999</v>
      </c>
      <c r="AR18" s="297">
        <f>IFERROR(T18/H18,0)</f>
        <v>1.106625</v>
      </c>
      <c r="AT18" s="56">
        <v>9700</v>
      </c>
      <c r="AU18" s="18">
        <v>9628.8478581979325</v>
      </c>
      <c r="AV18" s="58"/>
      <c r="AW18" s="56">
        <f>AT18*R18/10^3</f>
        <v>262.64690000000002</v>
      </c>
      <c r="AX18" s="18">
        <f>AU18*S18/10^3</f>
        <v>195.34043649926144</v>
      </c>
      <c r="AY18" s="308">
        <f>AV18*T18/10^3</f>
        <v>0</v>
      </c>
      <c r="BA18" s="56">
        <f t="shared" si="26"/>
        <v>150</v>
      </c>
      <c r="BB18" s="18">
        <f>IF(AQ18&lt;95%,0,150)</f>
        <v>150</v>
      </c>
      <c r="BC18" s="58">
        <f>IF(AR18&lt;95%,0,150)</f>
        <v>150</v>
      </c>
      <c r="BD18" s="56">
        <f>_xlfn.XLOOKUP($E18,'1. CS Hỗ trợ vận chuyển'!$D$8:$D$42,'1. CS Hỗ trợ vận chuyển'!$H$8:$H$42)</f>
        <v>400</v>
      </c>
      <c r="BE18" s="18">
        <f>_xlfn.XLOOKUP($E18,'1. CS Hỗ trợ vận chuyển'!$D$8:$D$42,'1. CS Hỗ trợ vận chuyển'!$H$8:$H$42)</f>
        <v>400</v>
      </c>
      <c r="BF18" s="58">
        <f>_xlfn.XLOOKUP($E18,'1. CS Hỗ trợ vận chuyển'!$D$8:$D$42,'1. CS Hỗ trợ vận chuyển'!$H$8:$H$42)</f>
        <v>400</v>
      </c>
      <c r="BH18" s="56">
        <f>BA18*R18/10^3</f>
        <v>4.0615500000000004</v>
      </c>
      <c r="BI18" s="18">
        <f>BB18*S18/10^3</f>
        <v>3.0430499999999996</v>
      </c>
      <c r="BJ18" s="58">
        <f>BC18*T18/10^3</f>
        <v>6.6397500000000003</v>
      </c>
      <c r="BK18" s="56">
        <f t="shared" si="0"/>
        <v>0</v>
      </c>
      <c r="BL18" s="57">
        <f>AE18*BE18/10^3</f>
        <v>2.444</v>
      </c>
      <c r="BM18" s="58">
        <f>AF18*BF18/10^3</f>
        <v>0</v>
      </c>
      <c r="BN18" s="56">
        <f>10000000/10^6</f>
        <v>10</v>
      </c>
      <c r="BO18" s="18">
        <f>10000000/10^6</f>
        <v>10</v>
      </c>
      <c r="BP18" s="58">
        <f>10000000/10^6</f>
        <v>10</v>
      </c>
      <c r="BQ18" s="56">
        <f>5000000/10^6</f>
        <v>5</v>
      </c>
      <c r="BR18" s="18">
        <f>5000000/10^6</f>
        <v>5</v>
      </c>
      <c r="BS18" s="58">
        <f>5000000/10^6</f>
        <v>5</v>
      </c>
      <c r="BU18" s="56">
        <f t="shared" si="3"/>
        <v>19.06155</v>
      </c>
      <c r="BV18" s="18">
        <f>SUM(BI18,BL18,BO18,BR18)</f>
        <v>20.48705</v>
      </c>
      <c r="BW18" s="58">
        <f>SUM(BJ18,BM18,BP18,BS18)</f>
        <v>21.639749999999999</v>
      </c>
      <c r="BY18" s="56">
        <f>IFERROR((SUM(BH18,BK18,BN18,BQ18)+(R18*AT18/10^3))/R18*10^3,0)</f>
        <v>10403.975698932674</v>
      </c>
      <c r="BZ18" s="18">
        <f>IFERROR((SUM(BI18,BL18,BO18,BR18)+(S18*AU18/10^3))/S18*10^3,0)</f>
        <v>10638.708852923619</v>
      </c>
      <c r="CA18" s="58"/>
      <c r="CB18" s="56">
        <v>10000</v>
      </c>
      <c r="CC18" s="18">
        <v>10000</v>
      </c>
      <c r="CD18" s="58">
        <v>10000</v>
      </c>
      <c r="CE18" s="56">
        <f>SUM(F18:H18)</f>
        <v>85</v>
      </c>
      <c r="CF18" s="18"/>
      <c r="CG18" s="18"/>
      <c r="CH18" s="58"/>
      <c r="CI18" s="332">
        <f>SUM(R18:T18)</f>
        <v>91.629000000000005</v>
      </c>
      <c r="CJ18" s="18"/>
      <c r="CK18" s="18"/>
      <c r="CL18" s="58"/>
      <c r="CM18" s="313">
        <f>IF(OR(CI18/CE18=1,CI18/CE18&gt;1),50,0)</f>
        <v>50</v>
      </c>
      <c r="CN18" s="56">
        <f>CI18*CM18*10^3</f>
        <v>4581450</v>
      </c>
      <c r="CO18" s="18"/>
      <c r="CP18" s="18"/>
      <c r="CQ18" s="58"/>
    </row>
    <row r="19" spans="1:96" s="203" customFormat="1" x14ac:dyDescent="0.35">
      <c r="A19" s="206"/>
      <c r="B19" s="215" t="s">
        <v>1249</v>
      </c>
      <c r="C19" s="207"/>
      <c r="D19" s="207"/>
      <c r="E19" s="207"/>
      <c r="F19" s="216">
        <f>SUM(F17:F18)</f>
        <v>45</v>
      </c>
      <c r="G19" s="217">
        <f t="shared" ref="G19:AF19" si="27">SUM(G17:G18)</f>
        <v>40</v>
      </c>
      <c r="H19" s="217">
        <f t="shared" si="27"/>
        <v>70</v>
      </c>
      <c r="I19" s="217">
        <f t="shared" si="27"/>
        <v>90</v>
      </c>
      <c r="J19" s="217">
        <f t="shared" si="27"/>
        <v>90</v>
      </c>
      <c r="K19" s="217">
        <f t="shared" si="27"/>
        <v>90</v>
      </c>
      <c r="L19" s="217">
        <f t="shared" si="27"/>
        <v>110</v>
      </c>
      <c r="M19" s="217">
        <f t="shared" si="27"/>
        <v>110</v>
      </c>
      <c r="N19" s="217">
        <f t="shared" si="27"/>
        <v>110</v>
      </c>
      <c r="O19" s="217">
        <f t="shared" si="27"/>
        <v>120</v>
      </c>
      <c r="P19" s="217">
        <f t="shared" si="27"/>
        <v>120</v>
      </c>
      <c r="Q19" s="219">
        <f t="shared" si="27"/>
        <v>120</v>
      </c>
      <c r="R19" s="216">
        <f t="shared" si="27"/>
        <v>34.923000000000002</v>
      </c>
      <c r="S19" s="217">
        <f t="shared" si="27"/>
        <v>40.866</v>
      </c>
      <c r="T19" s="217">
        <f t="shared" si="27"/>
        <v>53.076000000000001</v>
      </c>
      <c r="U19" s="221">
        <f t="shared" si="27"/>
        <v>0</v>
      </c>
      <c r="V19" s="217">
        <f t="shared" si="27"/>
        <v>0</v>
      </c>
      <c r="W19" s="221">
        <f t="shared" ref="W19" si="28">SUM(W17:W18)</f>
        <v>0</v>
      </c>
      <c r="X19" s="217">
        <f t="shared" ref="X19" si="29">SUM(X17:X18)</f>
        <v>0</v>
      </c>
      <c r="Y19" s="217">
        <f t="shared" ref="Y19" si="30">SUM(Y17:Y18)</f>
        <v>0</v>
      </c>
      <c r="Z19" s="217">
        <f t="shared" ref="Z19" si="31">SUM(Z17:Z18)</f>
        <v>0</v>
      </c>
      <c r="AA19" s="217">
        <f t="shared" ref="AA19:AB19" si="32">SUM(AA17:AA18)</f>
        <v>0</v>
      </c>
      <c r="AB19" s="217">
        <f t="shared" si="32"/>
        <v>0</v>
      </c>
      <c r="AC19" s="220">
        <f t="shared" ref="AC19" si="33">SUM(AC17:AC18)</f>
        <v>0</v>
      </c>
      <c r="AD19" s="216">
        <f t="shared" si="27"/>
        <v>7.8460000000000001</v>
      </c>
      <c r="AE19" s="217">
        <f t="shared" si="27"/>
        <v>26.689</v>
      </c>
      <c r="AF19" s="344">
        <f t="shared" si="27"/>
        <v>8.8109999999999999</v>
      </c>
      <c r="AG19" s="221">
        <f t="shared" ref="AG19" si="34">SUM(AG17:AG18)</f>
        <v>0</v>
      </c>
      <c r="AH19" s="217">
        <f t="shared" ref="AH19" si="35">SUM(AH17:AH18)</f>
        <v>0</v>
      </c>
      <c r="AI19" s="221">
        <f t="shared" ref="AI19" si="36">SUM(AI17:AI18)</f>
        <v>0</v>
      </c>
      <c r="AJ19" s="217">
        <f t="shared" ref="AJ19" si="37">SUM(AJ17:AJ18)</f>
        <v>0</v>
      </c>
      <c r="AK19" s="217">
        <f t="shared" ref="AK19" si="38">SUM(AK17:AK18)</f>
        <v>0</v>
      </c>
      <c r="AL19" s="217">
        <f t="shared" ref="AL19" si="39">SUM(AL17:AL18)</f>
        <v>0</v>
      </c>
      <c r="AM19" s="217">
        <f t="shared" ref="AM19" si="40">SUM(AM17:AM18)</f>
        <v>0</v>
      </c>
      <c r="AN19" s="217">
        <f t="shared" ref="AN19" si="41">SUM(AN17:AN18)</f>
        <v>0</v>
      </c>
      <c r="AO19" s="220">
        <f t="shared" ref="AO19" si="42">SUM(AO17:AO18)</f>
        <v>0</v>
      </c>
      <c r="AP19" s="302">
        <f>IFERROR(R19/F19,0)</f>
        <v>0.77606666666666668</v>
      </c>
      <c r="AQ19" s="218">
        <f>IFERROR(S19/G19,0)</f>
        <v>1.0216499999999999</v>
      </c>
      <c r="AR19" s="303">
        <f>IFERROR(T19/H19,0)</f>
        <v>0.75822857142857147</v>
      </c>
      <c r="AS19" s="284"/>
      <c r="AT19" s="216"/>
      <c r="AU19" s="217"/>
      <c r="AV19" s="219"/>
      <c r="AW19" s="216">
        <f t="shared" ref="AW19" si="43">SUM(AW17:AW18)</f>
        <v>338.75310000000002</v>
      </c>
      <c r="AX19" s="217">
        <f t="shared" ref="AX19" si="44">SUM(AX17:AX18)</f>
        <v>390.27848952019394</v>
      </c>
      <c r="AY19" s="310"/>
      <c r="AZ19" s="284"/>
      <c r="BA19" s="216"/>
      <c r="BB19" s="217"/>
      <c r="BC19" s="219"/>
      <c r="BD19" s="216"/>
      <c r="BE19" s="217"/>
      <c r="BF19" s="219"/>
      <c r="BG19" s="284"/>
      <c r="BH19" s="216">
        <f>SUM(BH17:BH18)</f>
        <v>4.0615500000000004</v>
      </c>
      <c r="BI19" s="217">
        <f t="shared" ref="BI19:BW19" si="45">SUM(BI17:BI18)</f>
        <v>6.1298999999999992</v>
      </c>
      <c r="BJ19" s="219">
        <f t="shared" si="45"/>
        <v>6.6397500000000003</v>
      </c>
      <c r="BK19" s="216">
        <f t="shared" si="45"/>
        <v>3.1384000000000003</v>
      </c>
      <c r="BL19" s="220">
        <f t="shared" si="45"/>
        <v>10.675599999999999</v>
      </c>
      <c r="BM19" s="219">
        <f t="shared" si="45"/>
        <v>3.5244</v>
      </c>
      <c r="BN19" s="216">
        <f t="shared" si="45"/>
        <v>20</v>
      </c>
      <c r="BO19" s="217">
        <f t="shared" si="45"/>
        <v>20</v>
      </c>
      <c r="BP19" s="219">
        <f t="shared" si="45"/>
        <v>20</v>
      </c>
      <c r="BQ19" s="216">
        <f t="shared" si="45"/>
        <v>10</v>
      </c>
      <c r="BR19" s="217">
        <f t="shared" si="45"/>
        <v>10</v>
      </c>
      <c r="BS19" s="310">
        <f t="shared" si="45"/>
        <v>10</v>
      </c>
      <c r="BT19" s="284"/>
      <c r="BU19" s="216">
        <f t="shared" si="45"/>
        <v>37.199950000000001</v>
      </c>
      <c r="BV19" s="217">
        <f t="shared" si="45"/>
        <v>46.805499999999995</v>
      </c>
      <c r="BW19" s="219">
        <f t="shared" si="45"/>
        <v>40.164149999999999</v>
      </c>
      <c r="BX19" s="284"/>
      <c r="BY19" s="216"/>
      <c r="BZ19" s="217"/>
      <c r="CA19" s="219"/>
      <c r="CB19" s="216"/>
      <c r="CC19" s="217"/>
      <c r="CD19" s="219"/>
      <c r="CE19" s="216"/>
      <c r="CF19" s="217"/>
      <c r="CG19" s="217"/>
      <c r="CH19" s="219"/>
      <c r="CI19" s="334"/>
      <c r="CJ19" s="217"/>
      <c r="CK19" s="217"/>
      <c r="CL19" s="219"/>
      <c r="CM19" s="315"/>
      <c r="CN19" s="216"/>
      <c r="CO19" s="217"/>
      <c r="CP19" s="217"/>
      <c r="CQ19" s="219"/>
    </row>
    <row r="20" spans="1:96" ht="14.5" customHeight="1" x14ac:dyDescent="0.35">
      <c r="A20" s="60">
        <f>ROWS($A$7:A20)</f>
        <v>14</v>
      </c>
      <c r="B20" s="61" t="s">
        <v>64</v>
      </c>
      <c r="C20" s="61" t="s">
        <v>143</v>
      </c>
      <c r="D20" s="202" t="s">
        <v>144</v>
      </c>
      <c r="E20" s="290" t="s">
        <v>36</v>
      </c>
      <c r="F20" s="62">
        <v>100</v>
      </c>
      <c r="G20" s="63">
        <v>0</v>
      </c>
      <c r="H20" s="63">
        <v>0</v>
      </c>
      <c r="I20" s="63">
        <v>0</v>
      </c>
      <c r="J20" s="63">
        <v>0</v>
      </c>
      <c r="K20" s="63">
        <v>0</v>
      </c>
      <c r="L20" s="63">
        <v>0</v>
      </c>
      <c r="M20" s="63">
        <v>0</v>
      </c>
      <c r="N20" s="63">
        <v>0</v>
      </c>
      <c r="O20" s="63">
        <v>0</v>
      </c>
      <c r="P20" s="63">
        <v>0</v>
      </c>
      <c r="Q20" s="66">
        <v>0</v>
      </c>
      <c r="R20" s="62">
        <v>103.22500000000001</v>
      </c>
      <c r="S20" s="63">
        <v>0</v>
      </c>
      <c r="T20" s="63">
        <v>0</v>
      </c>
      <c r="U20" s="67"/>
      <c r="V20" s="63"/>
      <c r="W20" s="67"/>
      <c r="X20" s="63"/>
      <c r="Y20" s="63"/>
      <c r="Z20" s="63"/>
      <c r="AA20" s="63"/>
      <c r="AB20" s="65"/>
      <c r="AC20" s="65"/>
      <c r="AD20" s="62">
        <v>103.22500000000001</v>
      </c>
      <c r="AE20" s="63">
        <v>0</v>
      </c>
      <c r="AF20" s="63">
        <v>0</v>
      </c>
      <c r="AG20" s="67"/>
      <c r="AH20" s="63"/>
      <c r="AI20" s="67"/>
      <c r="AJ20" s="63"/>
      <c r="AK20" s="63"/>
      <c r="AL20" s="63"/>
      <c r="AM20" s="63"/>
      <c r="AN20" s="65"/>
      <c r="AO20" s="65"/>
      <c r="AP20" s="304">
        <f>IFERROR(R20/F20,0)</f>
        <v>1.0322500000000001</v>
      </c>
      <c r="AQ20" s="64">
        <f>IFERROR(S20/G20,0)</f>
        <v>0</v>
      </c>
      <c r="AR20" s="305">
        <f>IFERROR(T20/H20,0)</f>
        <v>0</v>
      </c>
      <c r="AT20" s="62">
        <v>9700</v>
      </c>
      <c r="AU20" s="63">
        <v>9615.742624618515</v>
      </c>
      <c r="AV20" s="66"/>
      <c r="AW20" s="62">
        <f>AT20*R20/10^3</f>
        <v>1001.2825000000001</v>
      </c>
      <c r="AX20" s="63">
        <f>AU20*S20/10^3</f>
        <v>0</v>
      </c>
      <c r="AY20" s="294"/>
      <c r="BA20" s="62">
        <f>IF(AP20&lt;95%,0,150)</f>
        <v>150</v>
      </c>
      <c r="BB20" s="63">
        <f>IF(AQ20&lt;95%,0,150)</f>
        <v>0</v>
      </c>
      <c r="BC20" s="66">
        <f>IF(AR20&lt;95%,0,150)</f>
        <v>0</v>
      </c>
      <c r="BD20" s="62">
        <f>_xlfn.XLOOKUP($E20,'1. CS Hỗ trợ vận chuyển'!$D$8:$D$42,'1. CS Hỗ trợ vận chuyển'!$H$8:$H$42)</f>
        <v>300</v>
      </c>
      <c r="BE20" s="63">
        <f>_xlfn.XLOOKUP($E20,'1. CS Hỗ trợ vận chuyển'!$D$8:$D$42,'1. CS Hỗ trợ vận chuyển'!$H$8:$H$42)</f>
        <v>300</v>
      </c>
      <c r="BF20" s="66">
        <f>_xlfn.XLOOKUP($E20,'1. CS Hỗ trợ vận chuyển'!$D$8:$D$42,'1. CS Hỗ trợ vận chuyển'!$H$8:$H$42)</f>
        <v>300</v>
      </c>
      <c r="BH20" s="62">
        <f>BA20*R20/10^3</f>
        <v>15.483750000000002</v>
      </c>
      <c r="BI20" s="63">
        <f>BB20*S20/10^3</f>
        <v>0</v>
      </c>
      <c r="BJ20" s="66">
        <f>BC20*T20/10^3</f>
        <v>0</v>
      </c>
      <c r="BK20" s="62">
        <f t="shared" si="0"/>
        <v>30.967500000000005</v>
      </c>
      <c r="BL20" s="65">
        <f>AE20*BE20/10^3</f>
        <v>0</v>
      </c>
      <c r="BM20" s="66">
        <f>AF20*BF20/10^3</f>
        <v>0</v>
      </c>
      <c r="BN20" s="62">
        <v>0</v>
      </c>
      <c r="BO20" s="63">
        <v>0</v>
      </c>
      <c r="BP20" s="58">
        <v>0</v>
      </c>
      <c r="BQ20" s="62">
        <v>0</v>
      </c>
      <c r="BR20" s="63">
        <v>0</v>
      </c>
      <c r="BS20" s="58">
        <v>0</v>
      </c>
      <c r="BU20" s="62">
        <f t="shared" si="3"/>
        <v>46.451250000000009</v>
      </c>
      <c r="BV20" s="63">
        <f>SUM(BI20,BL20,BO20,BR20)</f>
        <v>0</v>
      </c>
      <c r="BW20" s="66">
        <f>SUM(BJ20,BM20,BP20,BS20)</f>
        <v>0</v>
      </c>
      <c r="BY20" s="62">
        <f>IFERROR((SUM(BH20,BK20,BN20,BQ20)+(R20*AT20/10^3))/R20*10^3,0)</f>
        <v>10150</v>
      </c>
      <c r="BZ20" s="63">
        <f>IFERROR((SUM(BI20,BL20,BO20,BR20)+(S20*AU20/10^3))/S20*10^3,0)</f>
        <v>0</v>
      </c>
      <c r="CA20" s="66"/>
      <c r="CB20" s="62">
        <v>10000</v>
      </c>
      <c r="CC20" s="63">
        <v>10000</v>
      </c>
      <c r="CD20" s="256">
        <v>10000</v>
      </c>
      <c r="CE20" s="62">
        <f>SUM(F20:H20)</f>
        <v>100</v>
      </c>
      <c r="CF20" s="63"/>
      <c r="CG20" s="63"/>
      <c r="CH20" s="66"/>
      <c r="CI20" s="335">
        <f>SUM(R20:T20)</f>
        <v>103.22500000000001</v>
      </c>
      <c r="CJ20" s="63"/>
      <c r="CK20" s="63"/>
      <c r="CL20" s="66"/>
      <c r="CM20" s="316">
        <f>IF(OR(CI20/CE20=1,CI20/CE20&gt;1),50,0)</f>
        <v>50</v>
      </c>
      <c r="CN20" s="62">
        <f>CI20*CM20*10^3</f>
        <v>5161250</v>
      </c>
      <c r="CO20" s="63"/>
      <c r="CP20" s="63"/>
      <c r="CQ20" s="66"/>
      <c r="CR20" s="1" t="s">
        <v>1288</v>
      </c>
    </row>
    <row r="21" spans="1:96" ht="14.5" customHeight="1" x14ac:dyDescent="0.35">
      <c r="A21" s="60"/>
      <c r="B21" s="61" t="s">
        <v>64</v>
      </c>
      <c r="C21" s="61" t="s">
        <v>143</v>
      </c>
      <c r="D21" s="257" t="s">
        <v>1287</v>
      </c>
      <c r="E21" s="290" t="s">
        <v>36</v>
      </c>
      <c r="F21" s="62">
        <v>0</v>
      </c>
      <c r="G21" s="63">
        <v>50</v>
      </c>
      <c r="H21" s="259">
        <v>100</v>
      </c>
      <c r="I21" s="63">
        <v>100</v>
      </c>
      <c r="J21" s="63">
        <v>100</v>
      </c>
      <c r="K21" s="63">
        <v>100</v>
      </c>
      <c r="L21" s="63">
        <v>100</v>
      </c>
      <c r="M21" s="63">
        <v>100</v>
      </c>
      <c r="N21" s="63">
        <v>100</v>
      </c>
      <c r="O21" s="63">
        <v>100</v>
      </c>
      <c r="P21" s="63">
        <v>100</v>
      </c>
      <c r="Q21" s="66">
        <v>100</v>
      </c>
      <c r="R21" s="62"/>
      <c r="S21" s="63">
        <v>78.64</v>
      </c>
      <c r="T21" s="63">
        <f>137630/10^3</f>
        <v>137.63</v>
      </c>
      <c r="U21" s="67"/>
      <c r="V21" s="63"/>
      <c r="W21" s="67"/>
      <c r="X21" s="63"/>
      <c r="Y21" s="63"/>
      <c r="Z21" s="63"/>
      <c r="AA21" s="63"/>
      <c r="AB21" s="65"/>
      <c r="AC21" s="65"/>
      <c r="AD21" s="62"/>
      <c r="AE21" s="63">
        <v>78.64</v>
      </c>
      <c r="AF21" s="63">
        <v>137.63</v>
      </c>
      <c r="AG21" s="67"/>
      <c r="AH21" s="63"/>
      <c r="AI21" s="67"/>
      <c r="AJ21" s="63"/>
      <c r="AK21" s="63"/>
      <c r="AL21" s="63"/>
      <c r="AM21" s="63"/>
      <c r="AN21" s="65"/>
      <c r="AO21" s="65"/>
      <c r="AP21" s="304">
        <f>IFERROR(R21/F21,0)</f>
        <v>0</v>
      </c>
      <c r="AQ21" s="64">
        <f>IFERROR(S21/G21,0)</f>
        <v>1.5728</v>
      </c>
      <c r="AR21" s="305">
        <f>IFERROR(T21/H21,0)</f>
        <v>1.3762999999999999</v>
      </c>
      <c r="AT21" s="62"/>
      <c r="AU21" s="63"/>
      <c r="AV21" s="66"/>
      <c r="AW21" s="62"/>
      <c r="AX21" s="63"/>
      <c r="AY21" s="294"/>
      <c r="BA21" s="62">
        <f>IF(AP21&lt;95%,0,150)</f>
        <v>0</v>
      </c>
      <c r="BB21" s="63">
        <f>IF(AQ21&lt;95%,0,150)</f>
        <v>150</v>
      </c>
      <c r="BC21" s="66">
        <f>IF(AR21&lt;95%,0,150)</f>
        <v>150</v>
      </c>
      <c r="BD21" s="62">
        <f>_xlfn.XLOOKUP($E21,'1. CS Hỗ trợ vận chuyển'!$D$8:$D$42,'1. CS Hỗ trợ vận chuyển'!$H$8:$H$42)</f>
        <v>300</v>
      </c>
      <c r="BE21" s="63">
        <f>_xlfn.XLOOKUP($E21,'1. CS Hỗ trợ vận chuyển'!$D$8:$D$42,'1. CS Hỗ trợ vận chuyển'!$H$8:$H$42)</f>
        <v>300</v>
      </c>
      <c r="BF21" s="66">
        <f>_xlfn.XLOOKUP($E21,'1. CS Hỗ trợ vận chuyển'!$D$8:$D$42,'1. CS Hỗ trợ vận chuyển'!$H$8:$H$42)</f>
        <v>300</v>
      </c>
      <c r="BH21" s="62">
        <f>BA21*R21/10^3</f>
        <v>0</v>
      </c>
      <c r="BI21" s="63">
        <f>BB21*S21/10^3</f>
        <v>11.795999999999999</v>
      </c>
      <c r="BJ21" s="66">
        <f>BC21*T21/10^3</f>
        <v>20.644500000000001</v>
      </c>
      <c r="BK21" s="62">
        <f t="shared" ref="BK21" si="46">AD21*BD21/10^3</f>
        <v>0</v>
      </c>
      <c r="BL21" s="65">
        <f t="shared" ref="BL21" si="47">AE21*BE21/10^3</f>
        <v>23.591999999999999</v>
      </c>
      <c r="BM21" s="66">
        <f t="shared" ref="BM21" si="48">AF21*BF21/10^3</f>
        <v>41.289000000000001</v>
      </c>
      <c r="BN21" s="62">
        <v>0</v>
      </c>
      <c r="BO21" s="63">
        <v>0</v>
      </c>
      <c r="BP21" s="66">
        <v>0</v>
      </c>
      <c r="BQ21" s="62">
        <v>0</v>
      </c>
      <c r="BR21" s="63">
        <v>0</v>
      </c>
      <c r="BS21" s="294">
        <v>0</v>
      </c>
      <c r="BU21" s="62">
        <f t="shared" ref="BU21:BU22" si="49">SUM(BH21,BK21,BN21,BQ21)</f>
        <v>0</v>
      </c>
      <c r="BV21" s="63">
        <f t="shared" ref="BV21:BV22" si="50">SUM(BI21,BL21,BO21,BR21)</f>
        <v>35.387999999999998</v>
      </c>
      <c r="BW21" s="66">
        <f t="shared" ref="BW21:BW22" si="51">SUM(BJ21,BM21,BP21,BS21)</f>
        <v>61.933500000000002</v>
      </c>
      <c r="BY21" s="62"/>
      <c r="BZ21" s="63"/>
      <c r="CA21" s="66"/>
      <c r="CB21" s="62"/>
      <c r="CC21" s="63"/>
      <c r="CD21" s="66"/>
      <c r="CE21" s="62">
        <f>SUM(F21:H21)</f>
        <v>150</v>
      </c>
      <c r="CF21" s="63"/>
      <c r="CG21" s="63"/>
      <c r="CH21" s="66"/>
      <c r="CI21" s="335">
        <f>SUM(R21:T21)</f>
        <v>216.26999999999998</v>
      </c>
      <c r="CJ21" s="63"/>
      <c r="CK21" s="63"/>
      <c r="CL21" s="66"/>
      <c r="CM21" s="316">
        <f>IF(OR(CI21/CE21=1,CI21/CE21&gt;1),50,0)</f>
        <v>50</v>
      </c>
      <c r="CN21" s="62">
        <f>CI21*CM21*10^3</f>
        <v>10813500</v>
      </c>
      <c r="CO21" s="63"/>
      <c r="CP21" s="63"/>
      <c r="CQ21" s="66"/>
    </row>
    <row r="22" spans="1:96" ht="14.5" customHeight="1" x14ac:dyDescent="0.35">
      <c r="A22" s="60"/>
      <c r="B22" s="61" t="s">
        <v>64</v>
      </c>
      <c r="C22" s="61" t="s">
        <v>125</v>
      </c>
      <c r="D22" s="202" t="s">
        <v>126</v>
      </c>
      <c r="E22" s="290" t="s">
        <v>63</v>
      </c>
      <c r="F22" s="62">
        <v>0</v>
      </c>
      <c r="G22" s="63">
        <v>0</v>
      </c>
      <c r="H22" s="63">
        <v>100</v>
      </c>
      <c r="I22" s="63">
        <v>100</v>
      </c>
      <c r="J22" s="63">
        <v>100</v>
      </c>
      <c r="K22" s="63">
        <v>100</v>
      </c>
      <c r="L22" s="63">
        <v>100</v>
      </c>
      <c r="M22" s="63">
        <v>100</v>
      </c>
      <c r="N22" s="63">
        <v>100</v>
      </c>
      <c r="O22" s="63">
        <v>100</v>
      </c>
      <c r="P22" s="63">
        <v>100</v>
      </c>
      <c r="Q22" s="66">
        <v>100</v>
      </c>
      <c r="R22" s="62"/>
      <c r="S22" s="63"/>
      <c r="T22" s="63">
        <f>22127/10^3</f>
        <v>22.126999999999999</v>
      </c>
      <c r="U22" s="67"/>
      <c r="V22" s="63"/>
      <c r="W22" s="67"/>
      <c r="X22" s="63"/>
      <c r="Y22" s="63"/>
      <c r="Z22" s="63"/>
      <c r="AA22" s="63"/>
      <c r="AB22" s="65"/>
      <c r="AC22" s="65"/>
      <c r="AD22" s="62"/>
      <c r="AE22" s="63"/>
      <c r="AF22" s="63">
        <f>22127/10^3</f>
        <v>22.126999999999999</v>
      </c>
      <c r="AG22" s="67"/>
      <c r="AH22" s="63"/>
      <c r="AI22" s="67"/>
      <c r="AJ22" s="63"/>
      <c r="AK22" s="63"/>
      <c r="AL22" s="63"/>
      <c r="AM22" s="63"/>
      <c r="AN22" s="65"/>
      <c r="AO22" s="65"/>
      <c r="AP22" s="304">
        <f>IFERROR(R22/F22,0)</f>
        <v>0</v>
      </c>
      <c r="AQ22" s="64">
        <f>IFERROR(S22/G22,0)</f>
        <v>0</v>
      </c>
      <c r="AR22" s="305">
        <f>IFERROR(T22/H22,0)</f>
        <v>0.22126999999999999</v>
      </c>
      <c r="AT22" s="62"/>
      <c r="AU22" s="63"/>
      <c r="AV22" s="66"/>
      <c r="AW22" s="62"/>
      <c r="AX22" s="63"/>
      <c r="AY22" s="294"/>
      <c r="BA22" s="62">
        <f>IF(AP22&lt;95%,0,150)</f>
        <v>0</v>
      </c>
      <c r="BB22" s="63">
        <f>IF(AQ22&lt;95%,0,150)</f>
        <v>0</v>
      </c>
      <c r="BC22" s="66">
        <f>IF(AR22&lt;95%,0,150)</f>
        <v>0</v>
      </c>
      <c r="BD22" s="62">
        <f>_xlfn.XLOOKUP($E22,'1. CS Hỗ trợ vận chuyển'!$D$8:$D$42,'1. CS Hỗ trợ vận chuyển'!$H$8:$H$42)</f>
        <v>300</v>
      </c>
      <c r="BE22" s="63">
        <f>_xlfn.XLOOKUP($E22,'1. CS Hỗ trợ vận chuyển'!$D$8:$D$42,'1. CS Hỗ trợ vận chuyển'!$H$8:$H$42)</f>
        <v>300</v>
      </c>
      <c r="BF22" s="66">
        <f>_xlfn.XLOOKUP($E22,'1. CS Hỗ trợ vận chuyển'!$D$8:$D$42,'1. CS Hỗ trợ vận chuyển'!$H$8:$H$42)</f>
        <v>300</v>
      </c>
      <c r="BH22" s="62">
        <f>BA22*R22/10^3</f>
        <v>0</v>
      </c>
      <c r="BI22" s="63">
        <f>BB22*S22/10^3</f>
        <v>0</v>
      </c>
      <c r="BJ22" s="66">
        <f>BC22*T22/10^3</f>
        <v>0</v>
      </c>
      <c r="BK22" s="62">
        <f t="shared" ref="BK22" si="52">AD22*BD22/10^3</f>
        <v>0</v>
      </c>
      <c r="BL22" s="65">
        <f t="shared" ref="BL22" si="53">AE22*BE22/10^3</f>
        <v>0</v>
      </c>
      <c r="BM22" s="66">
        <f t="shared" ref="BM22" si="54">AF22*BF22/10^3</f>
        <v>6.6380999999999997</v>
      </c>
      <c r="BN22" s="62">
        <v>0</v>
      </c>
      <c r="BO22" s="63">
        <v>0</v>
      </c>
      <c r="BP22" s="66">
        <v>0</v>
      </c>
      <c r="BQ22" s="62">
        <v>0</v>
      </c>
      <c r="BR22" s="63">
        <v>0</v>
      </c>
      <c r="BS22" s="294">
        <v>0</v>
      </c>
      <c r="BU22" s="62">
        <f t="shared" si="49"/>
        <v>0</v>
      </c>
      <c r="BV22" s="63">
        <f t="shared" si="50"/>
        <v>0</v>
      </c>
      <c r="BW22" s="66">
        <f t="shared" si="51"/>
        <v>6.6380999999999997</v>
      </c>
      <c r="BY22" s="62"/>
      <c r="BZ22" s="63"/>
      <c r="CA22" s="66"/>
      <c r="CB22" s="62"/>
      <c r="CC22" s="63"/>
      <c r="CD22" s="66"/>
      <c r="CE22" s="62">
        <f>SUM(F22:H22)</f>
        <v>100</v>
      </c>
      <c r="CF22" s="63"/>
      <c r="CG22" s="63"/>
      <c r="CH22" s="66"/>
      <c r="CI22" s="335">
        <f>SUM(R22:T22)</f>
        <v>22.126999999999999</v>
      </c>
      <c r="CJ22" s="63"/>
      <c r="CK22" s="63"/>
      <c r="CL22" s="66"/>
      <c r="CM22" s="316">
        <f>IF(OR(CI22/CE22=1,CI22/CE22&gt;1),50,0)</f>
        <v>0</v>
      </c>
      <c r="CN22" s="62">
        <f>CI22*CM22*10^3</f>
        <v>0</v>
      </c>
      <c r="CO22" s="63"/>
      <c r="CP22" s="63"/>
      <c r="CQ22" s="66"/>
    </row>
    <row r="23" spans="1:96" s="203" customFormat="1" ht="15" thickBot="1" x14ac:dyDescent="0.4">
      <c r="A23" s="222"/>
      <c r="B23" s="223" t="s">
        <v>1250</v>
      </c>
      <c r="C23" s="223"/>
      <c r="D23" s="223"/>
      <c r="E23" s="223"/>
      <c r="F23" s="216">
        <f>SUM(F20:F22)</f>
        <v>100</v>
      </c>
      <c r="G23" s="217">
        <f t="shared" ref="G23:AF23" si="55">SUM(G20:G22)</f>
        <v>50</v>
      </c>
      <c r="H23" s="217">
        <f t="shared" si="55"/>
        <v>200</v>
      </c>
      <c r="I23" s="217">
        <f t="shared" si="55"/>
        <v>200</v>
      </c>
      <c r="J23" s="217">
        <f t="shared" si="55"/>
        <v>200</v>
      </c>
      <c r="K23" s="217">
        <f t="shared" si="55"/>
        <v>200</v>
      </c>
      <c r="L23" s="217">
        <f t="shared" si="55"/>
        <v>200</v>
      </c>
      <c r="M23" s="217">
        <f t="shared" si="55"/>
        <v>200</v>
      </c>
      <c r="N23" s="217">
        <f t="shared" si="55"/>
        <v>200</v>
      </c>
      <c r="O23" s="217">
        <f t="shared" si="55"/>
        <v>200</v>
      </c>
      <c r="P23" s="217">
        <f t="shared" si="55"/>
        <v>200</v>
      </c>
      <c r="Q23" s="219">
        <f t="shared" si="55"/>
        <v>200</v>
      </c>
      <c r="R23" s="216">
        <f t="shared" si="55"/>
        <v>103.22500000000001</v>
      </c>
      <c r="S23" s="217">
        <f t="shared" si="55"/>
        <v>78.64</v>
      </c>
      <c r="T23" s="217">
        <f t="shared" si="55"/>
        <v>159.75700000000001</v>
      </c>
      <c r="U23" s="221">
        <f t="shared" si="55"/>
        <v>0</v>
      </c>
      <c r="V23" s="217">
        <f t="shared" si="55"/>
        <v>0</v>
      </c>
      <c r="W23" s="221">
        <f t="shared" ref="W23" si="56">SUM(W20:W22)</f>
        <v>0</v>
      </c>
      <c r="X23" s="217">
        <f t="shared" ref="X23" si="57">SUM(X20:X22)</f>
        <v>0</v>
      </c>
      <c r="Y23" s="217">
        <f t="shared" ref="Y23" si="58">SUM(Y20:Y22)</f>
        <v>0</v>
      </c>
      <c r="Z23" s="217">
        <f t="shared" ref="Z23" si="59">SUM(Z20:Z22)</f>
        <v>0</v>
      </c>
      <c r="AA23" s="217">
        <f t="shared" ref="AA23:AB23" si="60">SUM(AA20:AA22)</f>
        <v>0</v>
      </c>
      <c r="AB23" s="217">
        <f t="shared" si="60"/>
        <v>0</v>
      </c>
      <c r="AC23" s="220">
        <f t="shared" ref="AC23" si="61">SUM(AC20:AC22)</f>
        <v>0</v>
      </c>
      <c r="AD23" s="216">
        <f t="shared" si="55"/>
        <v>103.22500000000001</v>
      </c>
      <c r="AE23" s="217">
        <f t="shared" si="55"/>
        <v>78.64</v>
      </c>
      <c r="AF23" s="344">
        <f t="shared" si="55"/>
        <v>159.75700000000001</v>
      </c>
      <c r="AG23" s="221">
        <f t="shared" ref="AG23" si="62">SUM(AG20:AG22)</f>
        <v>0</v>
      </c>
      <c r="AH23" s="217">
        <f t="shared" ref="AH23" si="63">SUM(AH20:AH22)</f>
        <v>0</v>
      </c>
      <c r="AI23" s="221">
        <f t="shared" ref="AI23" si="64">SUM(AI20:AI22)</f>
        <v>0</v>
      </c>
      <c r="AJ23" s="217">
        <f t="shared" ref="AJ23" si="65">SUM(AJ20:AJ22)</f>
        <v>0</v>
      </c>
      <c r="AK23" s="217">
        <f t="shared" ref="AK23" si="66">SUM(AK20:AK22)</f>
        <v>0</v>
      </c>
      <c r="AL23" s="217">
        <f t="shared" ref="AL23" si="67">SUM(AL20:AL22)</f>
        <v>0</v>
      </c>
      <c r="AM23" s="217">
        <f t="shared" ref="AM23" si="68">SUM(AM20:AM22)</f>
        <v>0</v>
      </c>
      <c r="AN23" s="217">
        <f t="shared" ref="AN23" si="69">SUM(AN20:AN22)</f>
        <v>0</v>
      </c>
      <c r="AO23" s="220">
        <f t="shared" ref="AO23" si="70">SUM(AO20:AO22)</f>
        <v>0</v>
      </c>
      <c r="AP23" s="302">
        <f>IFERROR(R23/F23,0)</f>
        <v>1.0322500000000001</v>
      </c>
      <c r="AQ23" s="218">
        <f>IFERROR(S23/G23,0)</f>
        <v>1.5728</v>
      </c>
      <c r="AR23" s="303">
        <f>IFERROR(T23/H23,0)</f>
        <v>0.79878500000000008</v>
      </c>
      <c r="AS23" s="284"/>
      <c r="AT23" s="216"/>
      <c r="AU23" s="217"/>
      <c r="AV23" s="219"/>
      <c r="AW23" s="216">
        <f t="shared" ref="AW23" si="71">SUM(AW20)</f>
        <v>1001.2825000000001</v>
      </c>
      <c r="AX23" s="217">
        <f t="shared" ref="AX23" si="72">SUM(AX20)</f>
        <v>0</v>
      </c>
      <c r="AY23" s="310"/>
      <c r="AZ23" s="284"/>
      <c r="BA23" s="216"/>
      <c r="BB23" s="217"/>
      <c r="BC23" s="219"/>
      <c r="BD23" s="216"/>
      <c r="BE23" s="217"/>
      <c r="BF23" s="219"/>
      <c r="BG23" s="284"/>
      <c r="BH23" s="216">
        <f t="shared" ref="BH23:BS23" si="73">SUM(BH20:BH22)</f>
        <v>15.483750000000002</v>
      </c>
      <c r="BI23" s="217">
        <f t="shared" si="73"/>
        <v>11.795999999999999</v>
      </c>
      <c r="BJ23" s="219">
        <f t="shared" si="73"/>
        <v>20.644500000000001</v>
      </c>
      <c r="BK23" s="216">
        <f t="shared" si="73"/>
        <v>30.967500000000005</v>
      </c>
      <c r="BL23" s="220">
        <f t="shared" si="73"/>
        <v>23.591999999999999</v>
      </c>
      <c r="BM23" s="219">
        <f t="shared" si="73"/>
        <v>47.927100000000003</v>
      </c>
      <c r="BN23" s="216">
        <f t="shared" si="73"/>
        <v>0</v>
      </c>
      <c r="BO23" s="217">
        <f t="shared" si="73"/>
        <v>0</v>
      </c>
      <c r="BP23" s="219">
        <f t="shared" si="73"/>
        <v>0</v>
      </c>
      <c r="BQ23" s="216">
        <f t="shared" si="73"/>
        <v>0</v>
      </c>
      <c r="BR23" s="217">
        <f t="shared" si="73"/>
        <v>0</v>
      </c>
      <c r="BS23" s="310">
        <f t="shared" si="73"/>
        <v>0</v>
      </c>
      <c r="BT23" s="284"/>
      <c r="BU23" s="216">
        <f>SUM(BU20:BU22)</f>
        <v>46.451250000000009</v>
      </c>
      <c r="BV23" s="217">
        <f t="shared" ref="BV23:BW23" si="74">SUM(BV20:BV22)</f>
        <v>35.387999999999998</v>
      </c>
      <c r="BW23" s="219">
        <f t="shared" si="74"/>
        <v>68.571600000000004</v>
      </c>
      <c r="BX23" s="284"/>
      <c r="BY23" s="216"/>
      <c r="BZ23" s="217"/>
      <c r="CA23" s="219"/>
      <c r="CB23" s="216"/>
      <c r="CC23" s="217"/>
      <c r="CD23" s="219"/>
      <c r="CE23" s="216"/>
      <c r="CF23" s="217"/>
      <c r="CG23" s="217"/>
      <c r="CH23" s="219"/>
      <c r="CI23" s="334"/>
      <c r="CJ23" s="217"/>
      <c r="CK23" s="217"/>
      <c r="CL23" s="219"/>
      <c r="CM23" s="315"/>
      <c r="CN23" s="216"/>
      <c r="CO23" s="217"/>
      <c r="CP23" s="217"/>
      <c r="CQ23" s="219"/>
    </row>
    <row r="24" spans="1:96" s="68" customFormat="1" ht="15.5" thickTop="1" thickBot="1" x14ac:dyDescent="0.4">
      <c r="A24" s="224"/>
      <c r="B24" s="225" t="s">
        <v>154</v>
      </c>
      <c r="C24" s="225"/>
      <c r="D24" s="225"/>
      <c r="E24" s="225"/>
      <c r="F24" s="226">
        <f>SUM(F16,F19,F23)</f>
        <v>730</v>
      </c>
      <c r="G24" s="227">
        <f t="shared" ref="G24:AF24" si="75">SUM(G16,G19,G23)</f>
        <v>410</v>
      </c>
      <c r="H24" s="227">
        <f t="shared" si="75"/>
        <v>890</v>
      </c>
      <c r="I24" s="227">
        <f t="shared" si="75"/>
        <v>840</v>
      </c>
      <c r="J24" s="227">
        <f t="shared" si="75"/>
        <v>860</v>
      </c>
      <c r="K24" s="227">
        <f t="shared" si="75"/>
        <v>880</v>
      </c>
      <c r="L24" s="227">
        <f t="shared" si="75"/>
        <v>940</v>
      </c>
      <c r="M24" s="227">
        <f t="shared" si="75"/>
        <v>950</v>
      </c>
      <c r="N24" s="227">
        <f t="shared" si="75"/>
        <v>950</v>
      </c>
      <c r="O24" s="227">
        <f t="shared" si="75"/>
        <v>900</v>
      </c>
      <c r="P24" s="227">
        <f t="shared" si="75"/>
        <v>860</v>
      </c>
      <c r="Q24" s="230">
        <f t="shared" si="75"/>
        <v>880</v>
      </c>
      <c r="R24" s="226">
        <f t="shared" si="75"/>
        <v>851.08299999999986</v>
      </c>
      <c r="S24" s="227">
        <f t="shared" si="75"/>
        <v>564.59799999999996</v>
      </c>
      <c r="T24" s="227">
        <f t="shared" si="75"/>
        <v>857.97399999999993</v>
      </c>
      <c r="U24" s="231">
        <f t="shared" si="75"/>
        <v>0</v>
      </c>
      <c r="V24" s="227">
        <f t="shared" si="75"/>
        <v>0</v>
      </c>
      <c r="W24" s="231">
        <f t="shared" ref="W24" si="76">SUM(W16,W19,W23)</f>
        <v>0</v>
      </c>
      <c r="X24" s="227">
        <f t="shared" ref="X24" si="77">SUM(X16,X19,X23)</f>
        <v>0</v>
      </c>
      <c r="Y24" s="227">
        <f t="shared" ref="Y24" si="78">SUM(Y16,Y19,Y23)</f>
        <v>0</v>
      </c>
      <c r="Z24" s="227">
        <f t="shared" ref="Z24" si="79">SUM(Z16,Z19,Z23)</f>
        <v>0</v>
      </c>
      <c r="AA24" s="227">
        <f t="shared" ref="AA24:AB24" si="80">SUM(AA16,AA19,AA23)</f>
        <v>0</v>
      </c>
      <c r="AB24" s="227">
        <f t="shared" si="80"/>
        <v>0</v>
      </c>
      <c r="AC24" s="291">
        <f t="shared" ref="AC24" si="81">SUM(AC16,AC19,AC23)</f>
        <v>0</v>
      </c>
      <c r="AD24" s="226">
        <f t="shared" si="75"/>
        <v>824.00599999999986</v>
      </c>
      <c r="AE24" s="227">
        <f t="shared" si="75"/>
        <v>550.42099999999994</v>
      </c>
      <c r="AF24" s="227">
        <f t="shared" si="75"/>
        <v>813.70900000000006</v>
      </c>
      <c r="AG24" s="231">
        <f t="shared" ref="AG24" si="82">SUM(AG16,AG19,AG23)</f>
        <v>0</v>
      </c>
      <c r="AH24" s="227">
        <f t="shared" ref="AH24" si="83">SUM(AH16,AH19,AH23)</f>
        <v>0</v>
      </c>
      <c r="AI24" s="231">
        <f t="shared" ref="AI24" si="84">SUM(AI16,AI19,AI23)</f>
        <v>0</v>
      </c>
      <c r="AJ24" s="227">
        <f t="shared" ref="AJ24" si="85">SUM(AJ16,AJ19,AJ23)</f>
        <v>0</v>
      </c>
      <c r="AK24" s="227">
        <f t="shared" ref="AK24" si="86">SUM(AK16,AK19,AK23)</f>
        <v>0</v>
      </c>
      <c r="AL24" s="227">
        <f t="shared" ref="AL24" si="87">SUM(AL16,AL19,AL23)</f>
        <v>0</v>
      </c>
      <c r="AM24" s="227">
        <f t="shared" ref="AM24" si="88">SUM(AM16,AM19,AM23)</f>
        <v>0</v>
      </c>
      <c r="AN24" s="227">
        <f t="shared" ref="AN24" si="89">SUM(AN16,AN19,AN23)</f>
        <v>0</v>
      </c>
      <c r="AO24" s="291">
        <f t="shared" ref="AO24" si="90">SUM(AO16,AO19,AO23)</f>
        <v>0</v>
      </c>
      <c r="AP24" s="306">
        <f>IFERROR(R24/F24,0)</f>
        <v>1.1658671232876709</v>
      </c>
      <c r="AQ24" s="229">
        <f>IFERROR(S24/G24,0)</f>
        <v>1.3770682926829267</v>
      </c>
      <c r="AR24" s="307">
        <f>IFERROR(T24/H24,0)</f>
        <v>0.96401573033707855</v>
      </c>
      <c r="AS24" s="285"/>
      <c r="AT24" s="226"/>
      <c r="AU24" s="227"/>
      <c r="AV24" s="230"/>
      <c r="AW24" s="226">
        <f t="shared" ref="AW24" si="91">SUM(AW16,AW19,AW23)</f>
        <v>8289.3301999999985</v>
      </c>
      <c r="AX24" s="227">
        <f t="shared" ref="AX24" si="92">SUM(AX16,AX19,AX23)</f>
        <v>4694.2906481414375</v>
      </c>
      <c r="AY24" s="295"/>
      <c r="AZ24" s="285"/>
      <c r="BA24" s="226"/>
      <c r="BB24" s="227"/>
      <c r="BC24" s="230"/>
      <c r="BD24" s="226"/>
      <c r="BE24" s="227"/>
      <c r="BF24" s="230"/>
      <c r="BG24" s="285"/>
      <c r="BH24" s="226">
        <f t="shared" ref="BH24" si="93">SUM(BH16,BH19,BH23)</f>
        <v>118.79129999999998</v>
      </c>
      <c r="BI24" s="227">
        <f t="shared" ref="BI24:BJ24" si="94">SUM(BI16,BI19,BI23)</f>
        <v>76.668149999999997</v>
      </c>
      <c r="BJ24" s="230">
        <f t="shared" si="94"/>
        <v>113.86245</v>
      </c>
      <c r="BK24" s="226">
        <f t="shared" ref="BK24" si="95">SUM(BK16,BK19,BK23)</f>
        <v>314.38659999999999</v>
      </c>
      <c r="BL24" s="227">
        <f t="shared" ref="BL24:BM24" si="96">SUM(BL16,BL19,BL23)</f>
        <v>190.7577</v>
      </c>
      <c r="BM24" s="230">
        <f t="shared" si="96"/>
        <v>325.86559999999997</v>
      </c>
      <c r="BN24" s="226">
        <f t="shared" ref="BN24" si="97">SUM(BN16,BN19,BN23)</f>
        <v>20</v>
      </c>
      <c r="BO24" s="227">
        <f t="shared" ref="BO24:BP24" si="98">SUM(BO16,BO19,BO23)</f>
        <v>20</v>
      </c>
      <c r="BP24" s="230">
        <f t="shared" si="98"/>
        <v>20</v>
      </c>
      <c r="BQ24" s="226">
        <f t="shared" ref="BQ24:BS24" si="99">SUM(BQ16,BQ19,BQ23)</f>
        <v>10</v>
      </c>
      <c r="BR24" s="227">
        <f t="shared" si="99"/>
        <v>10</v>
      </c>
      <c r="BS24" s="230">
        <f t="shared" si="99"/>
        <v>10</v>
      </c>
      <c r="BT24" s="285"/>
      <c r="BU24" s="226">
        <f t="shared" ref="BU24:BW24" si="100">SUM(BU16,BU19,BU23)</f>
        <v>463.17789999999997</v>
      </c>
      <c r="BV24" s="227">
        <f t="shared" si="100"/>
        <v>297.42585000000003</v>
      </c>
      <c r="BW24" s="230">
        <f t="shared" si="100"/>
        <v>469.72805</v>
      </c>
      <c r="BX24" s="285"/>
      <c r="BY24" s="226"/>
      <c r="BZ24" s="227"/>
      <c r="CA24" s="230"/>
      <c r="CB24" s="226"/>
      <c r="CC24" s="227"/>
      <c r="CD24" s="230"/>
      <c r="CE24" s="226"/>
      <c r="CF24" s="227"/>
      <c r="CG24" s="227"/>
      <c r="CH24" s="230"/>
      <c r="CI24" s="336"/>
      <c r="CJ24" s="227"/>
      <c r="CK24" s="227"/>
      <c r="CL24" s="230"/>
      <c r="CM24" s="317"/>
      <c r="CN24" s="226"/>
      <c r="CO24" s="227"/>
      <c r="CP24" s="227"/>
      <c r="CQ24" s="230"/>
    </row>
    <row r="26" spans="1:96" x14ac:dyDescent="0.35">
      <c r="BM26" s="258"/>
    </row>
    <row r="27" spans="1:96" x14ac:dyDescent="0.35">
      <c r="BU27" s="43">
        <f>SUM(BU24:BW24)</f>
        <v>1230.3317999999999</v>
      </c>
    </row>
  </sheetData>
  <mergeCells count="22">
    <mergeCell ref="CI5:CL5"/>
    <mergeCell ref="CN5:CQ5"/>
    <mergeCell ref="AD5:AO5"/>
    <mergeCell ref="BU5:BW5"/>
    <mergeCell ref="CB5:CD5"/>
    <mergeCell ref="BY5:CA5"/>
    <mergeCell ref="R5:V5"/>
    <mergeCell ref="A5:A6"/>
    <mergeCell ref="B5:B6"/>
    <mergeCell ref="D5:D6"/>
    <mergeCell ref="E5:E6"/>
    <mergeCell ref="C5:C6"/>
    <mergeCell ref="BH5:BJ5"/>
    <mergeCell ref="BK5:BM5"/>
    <mergeCell ref="BN5:BP5"/>
    <mergeCell ref="BQ5:BS5"/>
    <mergeCell ref="F5:Q5"/>
    <mergeCell ref="AP5:AR5"/>
    <mergeCell ref="AT5:AV5"/>
    <mergeCell ref="AW5:AY5"/>
    <mergeCell ref="BA5:BC5"/>
    <mergeCell ref="BD5:BF5"/>
  </mergeCells>
  <hyperlinks>
    <hyperlink ref="A1" location="DM!B6" display="Quay lại" xr:uid="{A70E8F6D-AA75-4082-9527-3A7751DB0161}"/>
  </hyperlink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F6560-5C67-4FE9-93B0-9CA7CF9A2180}">
  <dimension ref="A1:Z60"/>
  <sheetViews>
    <sheetView showGridLines="0" tabSelected="1" zoomScaleNormal="100" workbookViewId="0">
      <pane xSplit="6" ySplit="5" topLeftCell="J34" activePane="bottomRight" state="frozen"/>
      <selection pane="topRight" activeCell="G1" sqref="G1"/>
      <selection pane="bottomLeft" activeCell="A6" sqref="A6"/>
      <selection pane="bottomRight" activeCell="Q45" sqref="Q45"/>
    </sheetView>
  </sheetViews>
  <sheetFormatPr defaultRowHeight="14.5" outlineLevelRow="1" outlineLevelCol="1" x14ac:dyDescent="0.35"/>
  <cols>
    <col min="1" max="1" width="5.6328125" style="1" customWidth="1"/>
    <col min="2" max="2" width="10.6328125" style="3" customWidth="1"/>
    <col min="3" max="3" width="19.36328125" style="1" customWidth="1" outlineLevel="1"/>
    <col min="4" max="4" width="28.453125" style="1" customWidth="1"/>
    <col min="5" max="5" width="10.6328125" style="195" customWidth="1"/>
    <col min="6" max="6" width="7.6328125" style="3" customWidth="1"/>
    <col min="7" max="9" width="10.6328125" style="43" customWidth="1"/>
    <col min="10" max="12" width="10.6328125" style="43" customWidth="1" outlineLevel="1"/>
    <col min="13" max="13" width="1.6328125" style="1" customWidth="1"/>
    <col min="14" max="15" width="10.6328125" style="43" customWidth="1"/>
    <col min="16" max="16" width="1.6328125" style="1" customWidth="1"/>
    <col min="17" max="21" width="10.6328125" style="43" customWidth="1"/>
    <col min="22" max="22" width="1.6328125" style="1" customWidth="1"/>
    <col min="23" max="24" width="12.6328125" style="43" customWidth="1"/>
    <col min="25" max="25" width="1.6328125" style="1" customWidth="1"/>
    <col min="26" max="26" width="14.26953125" style="1" bestFit="1" customWidth="1"/>
    <col min="27" max="27" width="18.6328125" style="1" bestFit="1" customWidth="1"/>
    <col min="28" max="28" width="18.90625" style="1" bestFit="1" customWidth="1"/>
    <col min="29" max="29" width="13.6328125" style="1" bestFit="1" customWidth="1"/>
    <col min="30" max="16384" width="8.7265625" style="1"/>
  </cols>
  <sheetData>
    <row r="1" spans="1:25" x14ac:dyDescent="0.35">
      <c r="A1" s="41" t="s">
        <v>100</v>
      </c>
    </row>
    <row r="2" spans="1:25" ht="21" x14ac:dyDescent="0.35">
      <c r="B2" s="22" t="s">
        <v>1276</v>
      </c>
    </row>
    <row r="3" spans="1:25" ht="15" customHeight="1" x14ac:dyDescent="0.35">
      <c r="B3" s="192"/>
    </row>
    <row r="4" spans="1:25" s="72" customFormat="1" ht="15" customHeight="1" thickBot="1" x14ac:dyDescent="0.4">
      <c r="B4" s="193"/>
      <c r="E4" s="196"/>
      <c r="F4" s="188"/>
      <c r="G4" s="74" t="s">
        <v>158</v>
      </c>
      <c r="H4" s="74"/>
      <c r="I4" s="74"/>
      <c r="J4" s="74"/>
      <c r="K4" s="74" t="s">
        <v>159</v>
      </c>
      <c r="L4" s="74" t="s">
        <v>157</v>
      </c>
      <c r="N4" s="75" t="s">
        <v>159</v>
      </c>
      <c r="O4" s="74"/>
      <c r="Q4" s="76" t="s">
        <v>157</v>
      </c>
      <c r="R4" s="74"/>
      <c r="S4" s="74"/>
      <c r="T4" s="74"/>
      <c r="U4" s="74"/>
      <c r="W4" s="77" t="s">
        <v>159</v>
      </c>
      <c r="X4" s="74"/>
    </row>
    <row r="5" spans="1:25" s="177" customFormat="1" ht="44" thickBot="1" x14ac:dyDescent="0.4">
      <c r="A5" s="178" t="s">
        <v>19</v>
      </c>
      <c r="B5" s="186" t="s">
        <v>123</v>
      </c>
      <c r="C5" s="186" t="s">
        <v>124</v>
      </c>
      <c r="D5" s="186" t="s">
        <v>1273</v>
      </c>
      <c r="E5" s="186" t="s">
        <v>91</v>
      </c>
      <c r="F5" s="187" t="s">
        <v>1247</v>
      </c>
      <c r="G5" s="179" t="s">
        <v>148</v>
      </c>
      <c r="H5" s="180" t="s">
        <v>147</v>
      </c>
      <c r="I5" s="200" t="s">
        <v>152</v>
      </c>
      <c r="J5" s="181" t="s">
        <v>153</v>
      </c>
      <c r="K5" s="180" t="s">
        <v>149</v>
      </c>
      <c r="L5" s="201" t="s">
        <v>155</v>
      </c>
      <c r="N5" s="347" t="s">
        <v>145</v>
      </c>
      <c r="O5" s="348" t="s">
        <v>146</v>
      </c>
      <c r="Q5" s="182" t="s">
        <v>162</v>
      </c>
      <c r="R5" s="183" t="s">
        <v>163</v>
      </c>
      <c r="S5" s="183" t="s">
        <v>150</v>
      </c>
      <c r="T5" s="183" t="s">
        <v>151</v>
      </c>
      <c r="U5" s="346" t="s">
        <v>156</v>
      </c>
      <c r="W5" s="184" t="s">
        <v>160</v>
      </c>
      <c r="X5" s="185" t="s">
        <v>161</v>
      </c>
    </row>
    <row r="6" spans="1:25" outlineLevel="1" x14ac:dyDescent="0.35">
      <c r="A6" s="47">
        <f>ROWS($A$6:A6)</f>
        <v>1</v>
      </c>
      <c r="B6" s="35" t="s">
        <v>25</v>
      </c>
      <c r="C6" s="48" t="s">
        <v>125</v>
      </c>
      <c r="D6" s="174" t="s">
        <v>126</v>
      </c>
      <c r="E6" s="197" t="s">
        <v>63</v>
      </c>
      <c r="F6" s="189">
        <v>1</v>
      </c>
      <c r="G6" s="49" cm="1">
        <f t="array" ref="G6">SUMPRODUCT('2.1. Thưởng NCC - ver1'!$F$7:$Q$24*('2.1. Thưởng NCC - ver1'!$B$7:$B$24='2.2 Thưởng NCC - ver2'!$B6)*('2.1. Thưởng NCC - ver1'!$F$6:$Q$6='2.2 Thưởng NCC - ver2'!$F6)*('2.1. Thưởng NCC - ver1'!$D$7:$D$24='2.2 Thưởng NCC - ver2'!$D6))</f>
        <v>200</v>
      </c>
      <c r="H6" s="50" cm="1">
        <f t="array" ref="H6">SUMPRODUCT('2.1. Thưởng NCC - ver1'!$R$7:$AC$24*('2.1. Thưởng NCC - ver1'!$B$7:$B$24='2.2 Thưởng NCC - ver2'!$B6)*('2.1. Thưởng NCC - ver1'!$R$6:$AC$6='2.2 Thưởng NCC - ver2'!$F6)*('2.1. Thưởng NCC - ver1'!$D$7:$D$24='2.2 Thưởng NCC - ver2'!$D6))</f>
        <v>286.46199999999993</v>
      </c>
      <c r="I6" s="50" cm="1">
        <f t="array" ref="I6">SUMPRODUCT('2.1. Thưởng NCC - ver1'!$AD$7:$AO$24*('2.1. Thưởng NCC - ver1'!$B$7:$B$24='2.2 Thưởng NCC - ver2'!$B6)*('2.1. Thưởng NCC - ver1'!$AD$6:$AO$6='2.2 Thưởng NCC - ver2'!$F6)*('2.1. Thưởng NCC - ver1'!$D$7:$D$24='2.2 Thưởng NCC - ver2'!$D6))</f>
        <v>286.46199999999993</v>
      </c>
      <c r="J6" s="70">
        <f t="shared" ref="J6:J32" si="0">IFERROR(H6/G6,0)</f>
        <v>1.4323099999999998</v>
      </c>
      <c r="K6" s="50">
        <v>9960.7501169439583</v>
      </c>
      <c r="L6" s="53">
        <f t="shared" ref="L6:L12" si="1">K6*H6/10^3</f>
        <v>2853.3763999999996</v>
      </c>
      <c r="M6" s="254"/>
      <c r="N6" s="49">
        <f>IF(J6&lt;95%,0,150)</f>
        <v>150</v>
      </c>
      <c r="O6" s="53">
        <f>IF(E6&lt;&gt;"",_xlfn.XLOOKUP($E6,'1. CS Hỗ trợ vận chuyển'!$D$8:$D$42,'1. CS Hỗ trợ vận chuyển'!$H$8:$H$42),0)</f>
        <v>300</v>
      </c>
      <c r="P6" s="254"/>
      <c r="Q6" s="49">
        <f t="shared" ref="Q6:Q21" si="2">N6*H6/10^3</f>
        <v>42.96929999999999</v>
      </c>
      <c r="R6" s="50">
        <f t="shared" ref="R6:R21" si="3">I6*O6/10^3</f>
        <v>85.93859999999998</v>
      </c>
      <c r="S6" s="50">
        <v>0</v>
      </c>
      <c r="T6" s="50">
        <v>0</v>
      </c>
      <c r="U6" s="53">
        <f t="shared" ref="U6:U34" si="4">SUM(Q6,R6,S6,T6)</f>
        <v>128.90789999999998</v>
      </c>
      <c r="V6" s="254"/>
      <c r="W6" s="49">
        <f t="shared" ref="W6:W12" si="5">IFERROR((SUM(Q6,R6,S6,T6)+(H6*K6/10^3))/H6*10^3,0)</f>
        <v>10410.750116943958</v>
      </c>
      <c r="X6" s="53">
        <v>10000</v>
      </c>
      <c r="Y6" s="254"/>
    </row>
    <row r="7" spans="1:25" outlineLevel="1" x14ac:dyDescent="0.35">
      <c r="A7" s="55">
        <f>ROWS($A$6:A7)</f>
        <v>2</v>
      </c>
      <c r="B7" s="11" t="s">
        <v>25</v>
      </c>
      <c r="C7" s="14" t="s">
        <v>127</v>
      </c>
      <c r="D7" s="175" t="s">
        <v>128</v>
      </c>
      <c r="E7" s="198" t="s">
        <v>47</v>
      </c>
      <c r="F7" s="190">
        <v>1</v>
      </c>
      <c r="G7" s="56" cm="1">
        <f t="array" ref="G7">SUMPRODUCT('2.1. Thưởng NCC - ver1'!$F$7:$Q$24*('2.1. Thưởng NCC - ver1'!$B$7:$B$24='2.2 Thưởng NCC - ver2'!$B7)*('2.1. Thưởng NCC - ver1'!$F$6:$Q$6='2.2 Thưởng NCC - ver2'!$F7)*('2.1. Thưởng NCC - ver1'!$D$7:$D$24='2.2 Thưởng NCC - ver2'!$D7))</f>
        <v>30</v>
      </c>
      <c r="H7" s="18" cm="1">
        <f t="array" ref="H7">SUMPRODUCT('2.1. Thưởng NCC - ver1'!$R$7:$AC$24*('2.1. Thưởng NCC - ver1'!$B$7:$B$24='2.2 Thưởng NCC - ver2'!$B7)*('2.1. Thưởng NCC - ver1'!$R$6:$AC$6='2.2 Thưởng NCC - ver2'!$F7)*('2.1. Thưởng NCC - ver1'!$D$7:$D$24='2.2 Thưởng NCC - ver2'!$D7))</f>
        <v>28.539000000000001</v>
      </c>
      <c r="I7" s="345" cm="1">
        <f t="array" ref="I7">SUMPRODUCT('2.1. Thưởng NCC - ver1'!$AD$7:$AO$24*('2.1. Thưởng NCC - ver1'!$B$7:$B$24='2.2 Thưởng NCC - ver2'!$B7)*('2.1. Thưởng NCC - ver1'!$AD$6:$AO$6='2.2 Thưởng NCC - ver2'!$F7)*('2.1. Thưởng NCC - ver1'!$D$7:$D$24='2.2 Thưởng NCC - ver2'!$D7))</f>
        <v>28.539000000000001</v>
      </c>
      <c r="J7" s="70">
        <f t="shared" si="0"/>
        <v>0.95130000000000003</v>
      </c>
      <c r="K7" s="18">
        <v>9891.7446301552263</v>
      </c>
      <c r="L7" s="58">
        <f t="shared" si="1"/>
        <v>282.3005</v>
      </c>
      <c r="M7" s="254"/>
      <c r="N7" s="56">
        <f t="shared" ref="N7:N39" si="6">IF(J7&lt;95%,0,150)</f>
        <v>150</v>
      </c>
      <c r="O7" s="58">
        <f>IF(E7&lt;&gt;"",_xlfn.XLOOKUP($E7,'1. CS Hỗ trợ vận chuyển'!$D$8:$D$42,'1. CS Hỗ trợ vận chuyển'!$H$8:$H$42),0)</f>
        <v>400</v>
      </c>
      <c r="P7" s="254"/>
      <c r="Q7" s="56">
        <f t="shared" si="2"/>
        <v>4.28085</v>
      </c>
      <c r="R7" s="18">
        <f t="shared" si="3"/>
        <v>11.4156</v>
      </c>
      <c r="S7" s="50">
        <v>0</v>
      </c>
      <c r="T7" s="50">
        <v>0</v>
      </c>
      <c r="U7" s="58">
        <f t="shared" si="4"/>
        <v>15.696449999999999</v>
      </c>
      <c r="V7" s="254"/>
      <c r="W7" s="56">
        <f t="shared" si="5"/>
        <v>10441.744630155225</v>
      </c>
      <c r="X7" s="58">
        <v>10000</v>
      </c>
      <c r="Y7" s="254"/>
    </row>
    <row r="8" spans="1:25" outlineLevel="1" x14ac:dyDescent="0.35">
      <c r="A8" s="55">
        <f>ROWS($A$6:A8)</f>
        <v>3</v>
      </c>
      <c r="B8" s="11" t="s">
        <v>25</v>
      </c>
      <c r="C8" s="14" t="s">
        <v>129</v>
      </c>
      <c r="D8" s="175" t="s">
        <v>221</v>
      </c>
      <c r="E8" s="198" t="s">
        <v>48</v>
      </c>
      <c r="F8" s="190">
        <v>1</v>
      </c>
      <c r="G8" s="56" cm="1">
        <f t="array" ref="G8">SUMPRODUCT('2.1. Thưởng NCC - ver1'!$F$7:$Q$24*('2.1. Thưởng NCC - ver1'!$B$7:$B$24='2.2 Thưởng NCC - ver2'!$B8)*('2.1. Thưởng NCC - ver1'!$F$6:$Q$6='2.2 Thưởng NCC - ver2'!$F8)*('2.1. Thưởng NCC - ver1'!$D$7:$D$24='2.2 Thưởng NCC - ver2'!$D8))</f>
        <v>50</v>
      </c>
      <c r="H8" s="18" cm="1">
        <f t="array" ref="H8">SUMPRODUCT('2.1. Thưởng NCC - ver1'!$R$7:$AC$24*('2.1. Thưởng NCC - ver1'!$B$7:$B$24='2.2 Thưởng NCC - ver2'!$B8)*('2.1. Thưởng NCC - ver1'!$R$6:$AC$6='2.2 Thưởng NCC - ver2'!$F8)*('2.1. Thưởng NCC - ver1'!$D$7:$D$24='2.2 Thưởng NCC - ver2'!$D8))</f>
        <v>62.032000000000011</v>
      </c>
      <c r="I8" s="18" cm="1">
        <f t="array" ref="I8">SUMPRODUCT('2.1. Thưởng NCC - ver1'!$AD$7:$AO$24*('2.1. Thưởng NCC - ver1'!$B$7:$B$24='2.2 Thưởng NCC - ver2'!$B8)*('2.1. Thưởng NCC - ver1'!$AD$6:$AO$6='2.2 Thưởng NCC - ver2'!$F8)*('2.1. Thưởng NCC - ver1'!$D$7:$D$24='2.2 Thưởng NCC - ver2'!$D8))</f>
        <v>62.032000000000011</v>
      </c>
      <c r="J8" s="70">
        <f t="shared" si="0"/>
        <v>1.2406400000000002</v>
      </c>
      <c r="K8" s="18">
        <v>9996.6791333505262</v>
      </c>
      <c r="L8" s="58">
        <f t="shared" si="1"/>
        <v>620.11400000000003</v>
      </c>
      <c r="M8" s="254"/>
      <c r="N8" s="56">
        <f t="shared" si="6"/>
        <v>150</v>
      </c>
      <c r="O8" s="58">
        <f>IF(E8&lt;&gt;"",_xlfn.XLOOKUP($E8,'1. CS Hỗ trợ vận chuyển'!$D$8:$D$42,'1. CS Hỗ trợ vận chuyển'!$H$8:$H$42),0)</f>
        <v>400</v>
      </c>
      <c r="P8" s="254"/>
      <c r="Q8" s="56">
        <f t="shared" si="2"/>
        <v>9.304800000000002</v>
      </c>
      <c r="R8" s="18">
        <f t="shared" si="3"/>
        <v>24.812800000000003</v>
      </c>
      <c r="S8" s="50">
        <v>0</v>
      </c>
      <c r="T8" s="50">
        <v>0</v>
      </c>
      <c r="U8" s="58">
        <f t="shared" si="4"/>
        <v>34.117600000000003</v>
      </c>
      <c r="V8" s="254"/>
      <c r="W8" s="56">
        <f t="shared" si="5"/>
        <v>10546.679133350528</v>
      </c>
      <c r="X8" s="58">
        <v>10000</v>
      </c>
      <c r="Y8" s="254"/>
    </row>
    <row r="9" spans="1:25" outlineLevel="1" x14ac:dyDescent="0.35">
      <c r="A9" s="55">
        <f>ROWS($A$6:A9)</f>
        <v>4</v>
      </c>
      <c r="B9" s="11" t="s">
        <v>25</v>
      </c>
      <c r="C9" s="14" t="s">
        <v>131</v>
      </c>
      <c r="D9" s="175" t="s">
        <v>132</v>
      </c>
      <c r="E9" s="198" t="s">
        <v>31</v>
      </c>
      <c r="F9" s="190">
        <v>1</v>
      </c>
      <c r="G9" s="56" cm="1">
        <f t="array" ref="G9">SUMPRODUCT('2.1. Thưởng NCC - ver1'!$F$7:$Q$24*('2.1. Thưởng NCC - ver1'!$B$7:$B$24='2.2 Thưởng NCC - ver2'!$B9)*('2.1. Thưởng NCC - ver1'!$F$6:$Q$6='2.2 Thưởng NCC - ver2'!$F9)*('2.1. Thưởng NCC - ver1'!$D$7:$D$24='2.2 Thưởng NCC - ver2'!$D9))</f>
        <v>80</v>
      </c>
      <c r="H9" s="18" cm="1">
        <f t="array" ref="H9">SUMPRODUCT('2.1. Thưởng NCC - ver1'!$R$7:$AC$24*('2.1. Thưởng NCC - ver1'!$B$7:$B$24='2.2 Thưởng NCC - ver2'!$B9)*('2.1. Thưởng NCC - ver1'!$R$6:$AC$6='2.2 Thưởng NCC - ver2'!$F9)*('2.1. Thưởng NCC - ver1'!$D$7:$D$24='2.2 Thưởng NCC - ver2'!$D9))</f>
        <v>85.919999999999987</v>
      </c>
      <c r="I9" s="18" cm="1">
        <f t="array" ref="I9">SUMPRODUCT('2.1. Thưởng NCC - ver1'!$AD$7:$AO$24*('2.1. Thưởng NCC - ver1'!$B$7:$B$24='2.2 Thưởng NCC - ver2'!$B9)*('2.1. Thưởng NCC - ver1'!$AD$6:$AO$6='2.2 Thưởng NCC - ver2'!$F9)*('2.1. Thưởng NCC - ver1'!$D$7:$D$24='2.2 Thưởng NCC - ver2'!$D9))</f>
        <v>85.919999999999987</v>
      </c>
      <c r="J9" s="70">
        <f t="shared" si="0"/>
        <v>1.0739999999999998</v>
      </c>
      <c r="K9" s="18">
        <v>9704.4692737430178</v>
      </c>
      <c r="L9" s="58">
        <f t="shared" si="1"/>
        <v>833.80799999999999</v>
      </c>
      <c r="M9" s="254"/>
      <c r="N9" s="56">
        <f t="shared" si="6"/>
        <v>150</v>
      </c>
      <c r="O9" s="58">
        <f>IF(E9&lt;&gt;"",_xlfn.XLOOKUP($E9,'1. CS Hỗ trợ vận chuyển'!$D$8:$D$42,'1. CS Hỗ trợ vận chuyển'!$H$8:$H$42),0)</f>
        <v>400</v>
      </c>
      <c r="P9" s="254"/>
      <c r="Q9" s="56">
        <f t="shared" si="2"/>
        <v>12.887999999999998</v>
      </c>
      <c r="R9" s="18">
        <f t="shared" si="3"/>
        <v>34.367999999999995</v>
      </c>
      <c r="S9" s="50">
        <v>0</v>
      </c>
      <c r="T9" s="50">
        <v>0</v>
      </c>
      <c r="U9" s="58">
        <f t="shared" si="4"/>
        <v>47.255999999999993</v>
      </c>
      <c r="V9" s="254"/>
      <c r="W9" s="56">
        <f t="shared" si="5"/>
        <v>10254.469273743018</v>
      </c>
      <c r="X9" s="58">
        <v>10000</v>
      </c>
      <c r="Y9" s="254"/>
    </row>
    <row r="10" spans="1:25" outlineLevel="1" x14ac:dyDescent="0.35">
      <c r="A10" s="55">
        <f>ROWS($A$6:A10)</f>
        <v>5</v>
      </c>
      <c r="B10" s="11" t="s">
        <v>25</v>
      </c>
      <c r="C10" s="14" t="s">
        <v>133</v>
      </c>
      <c r="D10" s="175" t="s">
        <v>134</v>
      </c>
      <c r="E10" s="198" t="s">
        <v>45</v>
      </c>
      <c r="F10" s="190">
        <v>1</v>
      </c>
      <c r="G10" s="56" cm="1">
        <f t="array" ref="G10">SUMPRODUCT('2.1. Thưởng NCC - ver1'!$F$7:$Q$24*('2.1. Thưởng NCC - ver1'!$B$7:$B$24='2.2 Thưởng NCC - ver2'!$B10)*('2.1. Thưởng NCC - ver1'!$F$6:$Q$6='2.2 Thưởng NCC - ver2'!$F10)*('2.1. Thưởng NCC - ver1'!$D$7:$D$24='2.2 Thưởng NCC - ver2'!$D10))</f>
        <v>80</v>
      </c>
      <c r="H10" s="18" cm="1">
        <f t="array" ref="H10">SUMPRODUCT('2.1. Thưởng NCC - ver1'!$R$7:$AC$24*('2.1. Thưởng NCC - ver1'!$B$7:$B$24='2.2 Thưởng NCC - ver2'!$B10)*('2.1. Thưởng NCC - ver1'!$R$6:$AC$6='2.2 Thưởng NCC - ver2'!$F10)*('2.1. Thưởng NCC - ver1'!$D$7:$D$24='2.2 Thưởng NCC - ver2'!$D10))</f>
        <v>38.841999999999992</v>
      </c>
      <c r="I10" s="18" cm="1">
        <f t="array" ref="I10">SUMPRODUCT('2.1. Thưởng NCC - ver1'!$AD$7:$AO$24*('2.1. Thưởng NCC - ver1'!$B$7:$B$24='2.2 Thưởng NCC - ver2'!$B10)*('2.1. Thưởng NCC - ver1'!$AD$6:$AO$6='2.2 Thưởng NCC - ver2'!$F10)*('2.1. Thưởng NCC - ver1'!$D$7:$D$24='2.2 Thưởng NCC - ver2'!$D10))</f>
        <v>38.841999999999999</v>
      </c>
      <c r="J10" s="232">
        <f t="shared" si="0"/>
        <v>0.48552499999999987</v>
      </c>
      <c r="K10" s="18">
        <v>9659.4485350908817</v>
      </c>
      <c r="L10" s="58">
        <f t="shared" si="1"/>
        <v>375.19229999999993</v>
      </c>
      <c r="M10" s="254"/>
      <c r="N10" s="56">
        <f t="shared" si="6"/>
        <v>0</v>
      </c>
      <c r="O10" s="58">
        <f>IF(E10&lt;&gt;"",_xlfn.XLOOKUP($E10,'1. CS Hỗ trợ vận chuyển'!$D$8:$D$42,'1. CS Hỗ trợ vận chuyển'!$H$8:$H$42),0)</f>
        <v>500</v>
      </c>
      <c r="P10" s="254"/>
      <c r="Q10" s="56">
        <f t="shared" si="2"/>
        <v>0</v>
      </c>
      <c r="R10" s="18">
        <f t="shared" si="3"/>
        <v>19.420999999999999</v>
      </c>
      <c r="S10" s="50">
        <v>0</v>
      </c>
      <c r="T10" s="50">
        <v>0</v>
      </c>
      <c r="U10" s="58">
        <f t="shared" si="4"/>
        <v>19.420999999999999</v>
      </c>
      <c r="V10" s="254"/>
      <c r="W10" s="56">
        <f t="shared" si="5"/>
        <v>10159.448535090882</v>
      </c>
      <c r="X10" s="58">
        <v>10000</v>
      </c>
      <c r="Y10" s="254"/>
    </row>
    <row r="11" spans="1:25" outlineLevel="1" x14ac:dyDescent="0.35">
      <c r="A11" s="55">
        <f>ROWS($A$6:A11)</f>
        <v>6</v>
      </c>
      <c r="B11" s="11" t="s">
        <v>25</v>
      </c>
      <c r="C11" s="14" t="s">
        <v>135</v>
      </c>
      <c r="D11" s="175" t="s">
        <v>136</v>
      </c>
      <c r="E11" s="198" t="s">
        <v>30</v>
      </c>
      <c r="F11" s="190">
        <v>1</v>
      </c>
      <c r="G11" s="56" cm="1">
        <f t="array" ref="G11">SUMPRODUCT('2.1. Thưởng NCC - ver1'!$F$7:$Q$24*('2.1. Thưởng NCC - ver1'!$B$7:$B$24='2.2 Thưởng NCC - ver2'!$B11)*('2.1. Thưởng NCC - ver1'!$F$6:$Q$6='2.2 Thưởng NCC - ver2'!$F11)*('2.1. Thưởng NCC - ver1'!$D$7:$D$24='2.2 Thưởng NCC - ver2'!$D11))</f>
        <v>50</v>
      </c>
      <c r="H11" s="18" cm="1">
        <f t="array" ref="H11">SUMPRODUCT('2.1. Thưởng NCC - ver1'!$R$7:$AC$24*('2.1. Thưởng NCC - ver1'!$B$7:$B$24='2.2 Thưởng NCC - ver2'!$B11)*('2.1. Thưởng NCC - ver1'!$R$6:$AC$6='2.2 Thưởng NCC - ver2'!$F11)*('2.1. Thưởng NCC - ver1'!$D$7:$D$24='2.2 Thưởng NCC - ver2'!$D11))</f>
        <v>62.456000000000003</v>
      </c>
      <c r="I11" s="18" cm="1">
        <f t="array" ref="I11">SUMPRODUCT('2.1. Thưởng NCC - ver1'!$AD$7:$AO$24*('2.1. Thưởng NCC - ver1'!$B$7:$B$24='2.2 Thưởng NCC - ver2'!$B11)*('2.1. Thưởng NCC - ver1'!$AD$6:$AO$6='2.2 Thưởng NCC - ver2'!$F11)*('2.1. Thưởng NCC - ver1'!$D$7:$D$24='2.2 Thưởng NCC - ver2'!$D11))</f>
        <v>62.456000000000003</v>
      </c>
      <c r="J11" s="70">
        <f t="shared" si="0"/>
        <v>1.24912</v>
      </c>
      <c r="K11" s="18">
        <v>9962.1077238375801</v>
      </c>
      <c r="L11" s="58">
        <f t="shared" si="1"/>
        <v>622.19339999999988</v>
      </c>
      <c r="M11" s="254"/>
      <c r="N11" s="56">
        <f t="shared" si="6"/>
        <v>150</v>
      </c>
      <c r="O11" s="58">
        <f>IF(E11&lt;&gt;"",_xlfn.XLOOKUP($E11,'1. CS Hỗ trợ vận chuyển'!$D$8:$D$42,'1. CS Hỗ trợ vận chuyển'!$H$8:$H$42),0)</f>
        <v>500</v>
      </c>
      <c r="P11" s="254"/>
      <c r="Q11" s="56">
        <f t="shared" si="2"/>
        <v>9.3683999999999994</v>
      </c>
      <c r="R11" s="18">
        <f t="shared" si="3"/>
        <v>31.228000000000002</v>
      </c>
      <c r="S11" s="50">
        <v>0</v>
      </c>
      <c r="T11" s="50">
        <v>0</v>
      </c>
      <c r="U11" s="58">
        <f t="shared" si="4"/>
        <v>40.596400000000003</v>
      </c>
      <c r="V11" s="254"/>
      <c r="W11" s="56">
        <f t="shared" si="5"/>
        <v>10612.10772383758</v>
      </c>
      <c r="X11" s="58">
        <v>10000</v>
      </c>
      <c r="Y11" s="254"/>
    </row>
    <row r="12" spans="1:25" outlineLevel="1" x14ac:dyDescent="0.35">
      <c r="A12" s="55">
        <f>ROWS($A$6:A12)</f>
        <v>7</v>
      </c>
      <c r="B12" s="11" t="s">
        <v>25</v>
      </c>
      <c r="C12" s="14" t="s">
        <v>137</v>
      </c>
      <c r="D12" s="175" t="s">
        <v>230</v>
      </c>
      <c r="E12" s="198" t="s">
        <v>34</v>
      </c>
      <c r="F12" s="190">
        <v>1</v>
      </c>
      <c r="G12" s="56" cm="1">
        <f t="array" ref="G12">SUMPRODUCT('2.1. Thưởng NCC - ver1'!$F$7:$Q$24*('2.1. Thưởng NCC - ver1'!$B$7:$B$24='2.2 Thưởng NCC - ver2'!$B12)*('2.1. Thưởng NCC - ver1'!$F$6:$Q$6='2.2 Thưởng NCC - ver2'!$F12)*('2.1. Thưởng NCC - ver1'!$D$7:$D$24='2.2 Thưởng NCC - ver2'!$D12))</f>
        <v>80</v>
      </c>
      <c r="H12" s="18" cm="1">
        <f t="array" ref="H12">SUMPRODUCT('2.1. Thưởng NCC - ver1'!$R$7:$AC$24*('2.1. Thưởng NCC - ver1'!$B$7:$B$24='2.2 Thưởng NCC - ver2'!$B12)*('2.1. Thưởng NCC - ver1'!$R$6:$AC$6='2.2 Thưởng NCC - ver2'!$F12)*('2.1. Thưởng NCC - ver1'!$D$7:$D$24='2.2 Thưởng NCC - ver2'!$D12))</f>
        <v>136.23099999999999</v>
      </c>
      <c r="I12" s="18" cm="1">
        <f t="array" ref="I12">SUMPRODUCT('2.1. Thưởng NCC - ver1'!$AD$7:$AO$24*('2.1. Thưởng NCC - ver1'!$B$7:$B$24='2.2 Thưởng NCC - ver2'!$B12)*('2.1. Thưởng NCC - ver1'!$AD$6:$AO$6='2.2 Thưởng NCC - ver2'!$F12)*('2.1. Thưởng NCC - ver1'!$D$7:$D$24='2.2 Thưởng NCC - ver2'!$D12))</f>
        <v>136.23099999999999</v>
      </c>
      <c r="J12" s="70">
        <f t="shared" si="0"/>
        <v>1.7028874999999999</v>
      </c>
      <c r="K12" s="18">
        <v>10000</v>
      </c>
      <c r="L12" s="58">
        <f t="shared" si="1"/>
        <v>1362.31</v>
      </c>
      <c r="M12" s="254"/>
      <c r="N12" s="56">
        <f t="shared" si="6"/>
        <v>150</v>
      </c>
      <c r="O12" s="58">
        <f>IF(E12&lt;&gt;"",_xlfn.XLOOKUP($E12,'1. CS Hỗ trợ vận chuyển'!$D$8:$D$42,'1. CS Hỗ trợ vận chuyển'!$H$8:$H$42),0)</f>
        <v>500</v>
      </c>
      <c r="P12" s="254"/>
      <c r="Q12" s="56">
        <f t="shared" si="2"/>
        <v>20.434649999999998</v>
      </c>
      <c r="R12" s="18">
        <f t="shared" si="3"/>
        <v>68.115499999999997</v>
      </c>
      <c r="S12" s="50">
        <v>0</v>
      </c>
      <c r="T12" s="50">
        <v>0</v>
      </c>
      <c r="U12" s="58">
        <f t="shared" si="4"/>
        <v>88.550150000000002</v>
      </c>
      <c r="V12" s="254"/>
      <c r="W12" s="56">
        <f t="shared" si="5"/>
        <v>10650</v>
      </c>
      <c r="X12" s="58">
        <v>10000</v>
      </c>
      <c r="Y12" s="254"/>
    </row>
    <row r="13" spans="1:25" outlineLevel="1" x14ac:dyDescent="0.35">
      <c r="A13" s="55">
        <f>ROWS($A$6:A13)</f>
        <v>8</v>
      </c>
      <c r="B13" s="11" t="s">
        <v>25</v>
      </c>
      <c r="C13" s="14" t="s">
        <v>127</v>
      </c>
      <c r="D13" s="175" t="s">
        <v>231</v>
      </c>
      <c r="E13" s="198" t="s">
        <v>47</v>
      </c>
      <c r="F13" s="190">
        <v>1</v>
      </c>
      <c r="G13" s="56" cm="1">
        <f t="array" ref="G13">SUMPRODUCT('2.1. Thưởng NCC - ver1'!$F$7:$Q$24*('2.1. Thưởng NCC - ver1'!$B$7:$B$24='2.2 Thưởng NCC - ver2'!$B13)*('2.1. Thưởng NCC - ver1'!$F$6:$Q$6='2.2 Thưởng NCC - ver2'!$F13)*('2.1. Thưởng NCC - ver1'!$D$7:$D$24='2.2 Thưởng NCC - ver2'!$D13))</f>
        <v>15</v>
      </c>
      <c r="H13" s="18" cm="1">
        <f t="array" ref="H13">SUMPRODUCT('2.1. Thưởng NCC - ver1'!$R$7:$AC$24*('2.1. Thưởng NCC - ver1'!$B$7:$B$24='2.2 Thưởng NCC - ver2'!$B13)*('2.1. Thưởng NCC - ver1'!$R$6:$AC$6='2.2 Thưởng NCC - ver2'!$F13)*('2.1. Thưởng NCC - ver1'!$D$7:$D$24='2.2 Thưởng NCC - ver2'!$D13))</f>
        <v>12.452999999999999</v>
      </c>
      <c r="I13" s="18" cm="1">
        <f t="array" ref="I13">SUMPRODUCT('2.1. Thưởng NCC - ver1'!$AD$7:$AO$24*('2.1. Thưởng NCC - ver1'!$B$7:$B$24='2.2 Thưởng NCC - ver2'!$B13)*('2.1. Thưởng NCC - ver1'!$AD$6:$AO$6='2.2 Thưởng NCC - ver2'!$F13)*('2.1. Thưởng NCC - ver1'!$D$7:$D$24='2.2 Thưởng NCC - ver2'!$D13))</f>
        <v>12.452999999999999</v>
      </c>
      <c r="J13" s="70">
        <f t="shared" si="0"/>
        <v>0.83019999999999994</v>
      </c>
      <c r="K13" s="18"/>
      <c r="L13" s="58"/>
      <c r="M13" s="254"/>
      <c r="N13" s="56">
        <f t="shared" si="6"/>
        <v>0</v>
      </c>
      <c r="O13" s="58">
        <f>IF(E13&lt;&gt;"",_xlfn.XLOOKUP($E13,'1. CS Hỗ trợ vận chuyển'!$D$8:$D$42,'1. CS Hỗ trợ vận chuyển'!$H$8:$H$42),0)</f>
        <v>400</v>
      </c>
      <c r="P13" s="254"/>
      <c r="Q13" s="56">
        <f t="shared" si="2"/>
        <v>0</v>
      </c>
      <c r="R13" s="18">
        <f t="shared" si="3"/>
        <v>4.9811999999999994</v>
      </c>
      <c r="S13" s="50">
        <v>0</v>
      </c>
      <c r="T13" s="50">
        <v>0</v>
      </c>
      <c r="U13" s="58">
        <f t="shared" si="4"/>
        <v>4.9811999999999994</v>
      </c>
      <c r="V13" s="254"/>
      <c r="W13" s="56"/>
      <c r="X13" s="58"/>
      <c r="Y13" s="254"/>
    </row>
    <row r="14" spans="1:25" outlineLevel="1" x14ac:dyDescent="0.35">
      <c r="A14" s="55">
        <f>ROWS($A$6:A14)</f>
        <v>9</v>
      </c>
      <c r="B14" s="11" t="s">
        <v>25</v>
      </c>
      <c r="C14" s="14" t="s">
        <v>232</v>
      </c>
      <c r="D14" s="175" t="s">
        <v>233</v>
      </c>
      <c r="E14" s="198" t="s">
        <v>29</v>
      </c>
      <c r="F14" s="190">
        <v>1</v>
      </c>
      <c r="G14" s="56" cm="1">
        <f t="array" ref="G14">SUMPRODUCT('2.1. Thưởng NCC - ver1'!$F$7:$Q$24*('2.1. Thưởng NCC - ver1'!$B$7:$B$24='2.2 Thưởng NCC - ver2'!$B14)*('2.1. Thưởng NCC - ver1'!$F$6:$Q$6='2.2 Thưởng NCC - ver2'!$F14)*('2.1. Thưởng NCC - ver1'!$D$7:$D$24='2.2 Thưởng NCC - ver2'!$D14))</f>
        <v>0</v>
      </c>
      <c r="H14" s="18" cm="1">
        <f t="array" ref="H14">SUMPRODUCT('2.1. Thưởng NCC - ver1'!$R$7:$AC$24*('2.1. Thưởng NCC - ver1'!$B$7:$B$24='2.2 Thưởng NCC - ver2'!$B14)*('2.1. Thưởng NCC - ver1'!$R$6:$AC$6='2.2 Thưởng NCC - ver2'!$F14)*('2.1. Thưởng NCC - ver1'!$D$7:$D$24='2.2 Thưởng NCC - ver2'!$D14))</f>
        <v>0</v>
      </c>
      <c r="I14" s="18" cm="1">
        <f t="array" ref="I14">SUMPRODUCT('2.1. Thưởng NCC - ver1'!$AD$7:$AO$24*('2.1. Thưởng NCC - ver1'!$B$7:$B$24='2.2 Thưởng NCC - ver2'!$B14)*('2.1. Thưởng NCC - ver1'!$AD$6:$AO$6='2.2 Thưởng NCC - ver2'!$F14)*('2.1. Thưởng NCC - ver1'!$D$7:$D$24='2.2 Thưởng NCC - ver2'!$D14))</f>
        <v>0</v>
      </c>
      <c r="J14" s="70">
        <f t="shared" si="0"/>
        <v>0</v>
      </c>
      <c r="K14" s="18"/>
      <c r="L14" s="58"/>
      <c r="M14" s="254"/>
      <c r="N14" s="56">
        <f t="shared" si="6"/>
        <v>0</v>
      </c>
      <c r="O14" s="58">
        <f>IF(E14&lt;&gt;"",_xlfn.XLOOKUP($E14,'1. CS Hỗ trợ vận chuyển'!$D$8:$D$42,'1. CS Hỗ trợ vận chuyển'!$H$8:$H$42),0)</f>
        <v>500</v>
      </c>
      <c r="P14" s="254"/>
      <c r="Q14" s="56">
        <f t="shared" si="2"/>
        <v>0</v>
      </c>
      <c r="R14" s="18">
        <f t="shared" si="3"/>
        <v>0</v>
      </c>
      <c r="S14" s="50">
        <v>0</v>
      </c>
      <c r="T14" s="50">
        <v>0</v>
      </c>
      <c r="U14" s="58">
        <f t="shared" si="4"/>
        <v>0</v>
      </c>
      <c r="V14" s="254"/>
      <c r="W14" s="56"/>
      <c r="X14" s="58"/>
      <c r="Y14" s="254"/>
    </row>
    <row r="15" spans="1:25" outlineLevel="1" x14ac:dyDescent="0.35">
      <c r="A15" s="47">
        <f>ROWS($A$6:A15)</f>
        <v>10</v>
      </c>
      <c r="B15" s="35" t="s">
        <v>25</v>
      </c>
      <c r="C15" s="48" t="s">
        <v>125</v>
      </c>
      <c r="D15" s="174" t="s">
        <v>126</v>
      </c>
      <c r="E15" s="197" t="s">
        <v>63</v>
      </c>
      <c r="F15" s="189">
        <v>2</v>
      </c>
      <c r="G15" s="49" cm="1">
        <f t="array" ref="G15">SUMPRODUCT('2.1. Thưởng NCC - ver1'!$F$7:$Q$24*('2.1. Thưởng NCC - ver1'!$B$7:$B$24='2.2 Thưởng NCC - ver2'!$B15)*('2.1. Thưởng NCC - ver1'!$F$6:$Q$6='2.2 Thưởng NCC - ver2'!$F15)*('2.1. Thưởng NCC - ver1'!$D$7:$D$24='2.2 Thưởng NCC - ver2'!$D15))</f>
        <v>100</v>
      </c>
      <c r="H15" s="50" cm="1">
        <f t="array" ref="H15">SUMPRODUCT('2.1. Thưởng NCC - ver1'!$R$7:$AC$24*('2.1. Thưởng NCC - ver1'!$B$7:$B$24='2.2 Thưởng NCC - ver2'!$B15)*('2.1. Thưởng NCC - ver1'!$R$6:$AC$6='2.2 Thưởng NCC - ver2'!$F15)*('2.1. Thưởng NCC - ver1'!$D$7:$D$24='2.2 Thưởng NCC - ver2'!$D15))</f>
        <v>279.767</v>
      </c>
      <c r="I15" s="50" cm="1">
        <f t="array" ref="I15">SUMPRODUCT('2.1. Thưởng NCC - ver1'!$AD$7:$AO$24*('2.1. Thưởng NCC - ver1'!$B$7:$B$24='2.2 Thưởng NCC - ver2'!$B15)*('2.1. Thưởng NCC - ver1'!$AD$6:$AO$6='2.2 Thưởng NCC - ver2'!$F15)*('2.1. Thưởng NCC - ver1'!$D$7:$D$24='2.2 Thưởng NCC - ver2'!$D15))</f>
        <v>279.767</v>
      </c>
      <c r="J15" s="70">
        <f t="shared" si="0"/>
        <v>2.7976700000000001</v>
      </c>
      <c r="K15" s="50">
        <v>9698.7684702671995</v>
      </c>
      <c r="L15" s="53">
        <f t="shared" ref="L15:L21" si="7">K15*H15/10^3</f>
        <v>2713.3953586212433</v>
      </c>
      <c r="M15" s="254"/>
      <c r="N15" s="49">
        <f t="shared" si="6"/>
        <v>150</v>
      </c>
      <c r="O15" s="53">
        <f>IF(E15&lt;&gt;"",_xlfn.XLOOKUP($E15,'1. CS Hỗ trợ vận chuyển'!$D$8:$D$42,'1. CS Hỗ trợ vận chuyển'!$H$8:$H$42),0)</f>
        <v>300</v>
      </c>
      <c r="P15" s="254"/>
      <c r="Q15" s="49">
        <f t="shared" si="2"/>
        <v>41.965050000000005</v>
      </c>
      <c r="R15" s="50">
        <f t="shared" si="3"/>
        <v>83.93010000000001</v>
      </c>
      <c r="S15" s="50">
        <v>0</v>
      </c>
      <c r="T15" s="50">
        <v>0</v>
      </c>
      <c r="U15" s="53">
        <f t="shared" si="4"/>
        <v>125.89515000000002</v>
      </c>
      <c r="V15" s="254"/>
      <c r="W15" s="49">
        <f t="shared" ref="W15:W21" si="8">IFERROR((SUM(Q15,R15,S15,T15)+(H15*K15/10^3))/H15*10^3,0)</f>
        <v>10148.768470267198</v>
      </c>
      <c r="X15" s="53">
        <v>10000</v>
      </c>
      <c r="Y15" s="254"/>
    </row>
    <row r="16" spans="1:25" outlineLevel="1" x14ac:dyDescent="0.35">
      <c r="A16" s="55">
        <f>ROWS($A$6:A16)</f>
        <v>11</v>
      </c>
      <c r="B16" s="11" t="s">
        <v>25</v>
      </c>
      <c r="C16" s="14" t="s">
        <v>127</v>
      </c>
      <c r="D16" s="175" t="s">
        <v>128</v>
      </c>
      <c r="E16" s="198" t="s">
        <v>47</v>
      </c>
      <c r="F16" s="190">
        <v>2</v>
      </c>
      <c r="G16" s="56" cm="1">
        <f t="array" ref="G16">SUMPRODUCT('2.1. Thưởng NCC - ver1'!$F$7:$Q$24*('2.1. Thưởng NCC - ver1'!$B$7:$B$24='2.2 Thưởng NCC - ver2'!$B16)*('2.1. Thưởng NCC - ver1'!$F$6:$Q$6='2.2 Thưởng NCC - ver2'!$F16)*('2.1. Thưởng NCC - ver1'!$D$7:$D$24='2.2 Thưởng NCC - ver2'!$D16))</f>
        <v>30</v>
      </c>
      <c r="H16" s="18" cm="1">
        <f t="array" ref="H16">SUMPRODUCT('2.1. Thưởng NCC - ver1'!$R$7:$AC$24*('2.1. Thưởng NCC - ver1'!$B$7:$B$24='2.2 Thưởng NCC - ver2'!$B16)*('2.1. Thưởng NCC - ver1'!$R$6:$AC$6='2.2 Thưởng NCC - ver2'!$F16)*('2.1. Thưởng NCC - ver1'!$D$7:$D$24='2.2 Thưởng NCC - ver2'!$D16))</f>
        <v>31.650000000000002</v>
      </c>
      <c r="I16" s="18" cm="1">
        <f t="array" ref="I16">SUMPRODUCT('2.1. Thưởng NCC - ver1'!$AD$7:$AO$24*('2.1. Thưởng NCC - ver1'!$B$7:$B$24='2.2 Thưởng NCC - ver2'!$B16)*('2.1. Thưởng NCC - ver1'!$AD$6:$AO$6='2.2 Thưởng NCC - ver2'!$F16)*('2.1. Thưởng NCC - ver1'!$D$7:$D$24='2.2 Thưởng NCC - ver2'!$D16))</f>
        <v>31.650000000000002</v>
      </c>
      <c r="J16" s="70">
        <f t="shared" si="0"/>
        <v>1.0550000000000002</v>
      </c>
      <c r="K16" s="18">
        <v>9610.6919431279621</v>
      </c>
      <c r="L16" s="58">
        <f t="shared" si="7"/>
        <v>304.17840000000001</v>
      </c>
      <c r="M16" s="254"/>
      <c r="N16" s="56">
        <f t="shared" si="6"/>
        <v>150</v>
      </c>
      <c r="O16" s="58">
        <f>IF(E16&lt;&gt;"",_xlfn.XLOOKUP($E16,'1. CS Hỗ trợ vận chuyển'!$D$8:$D$42,'1. CS Hỗ trợ vận chuyển'!$H$8:$H$42),0)</f>
        <v>400</v>
      </c>
      <c r="P16" s="254"/>
      <c r="Q16" s="56">
        <f t="shared" si="2"/>
        <v>4.7474999999999996</v>
      </c>
      <c r="R16" s="18">
        <f t="shared" si="3"/>
        <v>12.66</v>
      </c>
      <c r="S16" s="50">
        <v>0</v>
      </c>
      <c r="T16" s="50">
        <v>0</v>
      </c>
      <c r="U16" s="58">
        <f t="shared" si="4"/>
        <v>17.407499999999999</v>
      </c>
      <c r="V16" s="254"/>
      <c r="W16" s="56">
        <f t="shared" si="8"/>
        <v>10160.691943127964</v>
      </c>
      <c r="X16" s="58">
        <v>10000</v>
      </c>
      <c r="Y16" s="254"/>
    </row>
    <row r="17" spans="1:25" outlineLevel="1" x14ac:dyDescent="0.35">
      <c r="A17" s="55">
        <f>ROWS($A$6:A17)</f>
        <v>12</v>
      </c>
      <c r="B17" s="11" t="s">
        <v>25</v>
      </c>
      <c r="C17" s="14" t="s">
        <v>129</v>
      </c>
      <c r="D17" s="175" t="s">
        <v>221</v>
      </c>
      <c r="E17" s="198" t="s">
        <v>48</v>
      </c>
      <c r="F17" s="190">
        <v>2</v>
      </c>
      <c r="G17" s="56" cm="1">
        <f t="array" ref="G17">SUMPRODUCT('2.1. Thưởng NCC - ver1'!$F$7:$Q$24*('2.1. Thưởng NCC - ver1'!$B$7:$B$24='2.2 Thưởng NCC - ver2'!$B17)*('2.1. Thưởng NCC - ver1'!$F$6:$Q$6='2.2 Thưởng NCC - ver2'!$F17)*('2.1. Thưởng NCC - ver1'!$D$7:$D$24='2.2 Thưởng NCC - ver2'!$D17))</f>
        <v>30</v>
      </c>
      <c r="H17" s="18" cm="1">
        <f t="array" ref="H17">SUMPRODUCT('2.1. Thưởng NCC - ver1'!$R$7:$AC$24*('2.1. Thưởng NCC - ver1'!$B$7:$B$24='2.2 Thưởng NCC - ver2'!$B17)*('2.1. Thưởng NCC - ver1'!$R$6:$AC$6='2.2 Thưởng NCC - ver2'!$F17)*('2.1. Thưởng NCC - ver1'!$D$7:$D$24='2.2 Thưởng NCC - ver2'!$D17))</f>
        <v>32.518000000000001</v>
      </c>
      <c r="I17" s="18" cm="1">
        <f t="array" ref="I17">SUMPRODUCT('2.1. Thưởng NCC - ver1'!$AD$7:$AO$24*('2.1. Thưởng NCC - ver1'!$B$7:$B$24='2.2 Thưởng NCC - ver2'!$B17)*('2.1. Thưởng NCC - ver1'!$AD$6:$AO$6='2.2 Thưởng NCC - ver2'!$F17)*('2.1. Thưởng NCC - ver1'!$D$7:$D$24='2.2 Thưởng NCC - ver2'!$D17))</f>
        <v>32.518000000000001</v>
      </c>
      <c r="J17" s="70">
        <f t="shared" si="0"/>
        <v>1.0839333333333334</v>
      </c>
      <c r="K17" s="18">
        <v>9694.9012854419088</v>
      </c>
      <c r="L17" s="58">
        <f t="shared" si="7"/>
        <v>315.25880000000001</v>
      </c>
      <c r="M17" s="254"/>
      <c r="N17" s="56">
        <f t="shared" si="6"/>
        <v>150</v>
      </c>
      <c r="O17" s="58">
        <f>IF(E17&lt;&gt;"",_xlfn.XLOOKUP($E17,'1. CS Hỗ trợ vận chuyển'!$D$8:$D$42,'1. CS Hỗ trợ vận chuyển'!$H$8:$H$42),0)</f>
        <v>400</v>
      </c>
      <c r="P17" s="254"/>
      <c r="Q17" s="56">
        <f t="shared" si="2"/>
        <v>4.8776999999999999</v>
      </c>
      <c r="R17" s="18">
        <f t="shared" si="3"/>
        <v>13.007200000000001</v>
      </c>
      <c r="S17" s="50">
        <v>0</v>
      </c>
      <c r="T17" s="50">
        <v>0</v>
      </c>
      <c r="U17" s="58">
        <f t="shared" si="4"/>
        <v>17.884900000000002</v>
      </c>
      <c r="V17" s="254"/>
      <c r="W17" s="56">
        <f t="shared" si="8"/>
        <v>10244.901285441909</v>
      </c>
      <c r="X17" s="58">
        <v>10000</v>
      </c>
      <c r="Y17" s="254"/>
    </row>
    <row r="18" spans="1:25" outlineLevel="1" x14ac:dyDescent="0.35">
      <c r="A18" s="55">
        <f>ROWS($A$6:A18)</f>
        <v>13</v>
      </c>
      <c r="B18" s="11" t="s">
        <v>25</v>
      </c>
      <c r="C18" s="14" t="s">
        <v>131</v>
      </c>
      <c r="D18" s="175" t="s">
        <v>132</v>
      </c>
      <c r="E18" s="198" t="s">
        <v>31</v>
      </c>
      <c r="F18" s="190">
        <v>2</v>
      </c>
      <c r="G18" s="56" cm="1">
        <f t="array" ref="G18">SUMPRODUCT('2.1. Thưởng NCC - ver1'!$F$7:$Q$24*('2.1. Thưởng NCC - ver1'!$B$7:$B$24='2.2 Thưởng NCC - ver2'!$B18)*('2.1. Thưởng NCC - ver1'!$F$6:$Q$6='2.2 Thưởng NCC - ver2'!$F18)*('2.1. Thưởng NCC - ver1'!$D$7:$D$24='2.2 Thưởng NCC - ver2'!$D18))</f>
        <v>50</v>
      </c>
      <c r="H18" s="18" cm="1">
        <f t="array" ref="H18">SUMPRODUCT('2.1. Thưởng NCC - ver1'!$R$7:$AC$24*('2.1. Thưởng NCC - ver1'!$B$7:$B$24='2.2 Thưởng NCC - ver2'!$B18)*('2.1. Thưởng NCC - ver1'!$R$6:$AC$6='2.2 Thưởng NCC - ver2'!$F18)*('2.1. Thưởng NCC - ver1'!$D$7:$D$24='2.2 Thưởng NCC - ver2'!$D18))</f>
        <v>36.856999999999999</v>
      </c>
      <c r="I18" s="18" cm="1">
        <f t="array" ref="I18">SUMPRODUCT('2.1. Thưởng NCC - ver1'!$AD$7:$AO$24*('2.1. Thưởng NCC - ver1'!$B$7:$B$24='2.2 Thưởng NCC - ver2'!$B18)*('2.1. Thưởng NCC - ver1'!$AD$6:$AO$6='2.2 Thưởng NCC - ver2'!$F18)*('2.1. Thưởng NCC - ver1'!$D$7:$D$24='2.2 Thưởng NCC - ver2'!$D18))</f>
        <v>36.856999999999999</v>
      </c>
      <c r="J18" s="70">
        <f t="shared" si="0"/>
        <v>0.73714000000000002</v>
      </c>
      <c r="K18" s="18">
        <v>9369.9514339202869</v>
      </c>
      <c r="L18" s="58">
        <f t="shared" si="7"/>
        <v>345.34829999999999</v>
      </c>
      <c r="M18" s="254"/>
      <c r="N18" s="56">
        <f t="shared" si="6"/>
        <v>0</v>
      </c>
      <c r="O18" s="58">
        <f>IF(E18&lt;&gt;"",_xlfn.XLOOKUP($E18,'1. CS Hỗ trợ vận chuyển'!$D$8:$D$42,'1. CS Hỗ trợ vận chuyển'!$H$8:$H$42),0)</f>
        <v>400</v>
      </c>
      <c r="P18" s="254"/>
      <c r="Q18" s="56">
        <f t="shared" si="2"/>
        <v>0</v>
      </c>
      <c r="R18" s="18">
        <f t="shared" si="3"/>
        <v>14.742799999999999</v>
      </c>
      <c r="S18" s="50">
        <v>0</v>
      </c>
      <c r="T18" s="50">
        <v>0</v>
      </c>
      <c r="U18" s="58">
        <f t="shared" si="4"/>
        <v>14.742799999999999</v>
      </c>
      <c r="V18" s="254"/>
      <c r="W18" s="56">
        <f t="shared" si="8"/>
        <v>9769.9514339202869</v>
      </c>
      <c r="X18" s="58">
        <v>10000</v>
      </c>
      <c r="Y18" s="254"/>
    </row>
    <row r="19" spans="1:25" outlineLevel="1" x14ac:dyDescent="0.35">
      <c r="A19" s="55">
        <f>ROWS($A$6:A19)</f>
        <v>14</v>
      </c>
      <c r="B19" s="11" t="s">
        <v>25</v>
      </c>
      <c r="C19" s="14" t="s">
        <v>133</v>
      </c>
      <c r="D19" s="175" t="s">
        <v>134</v>
      </c>
      <c r="E19" s="198" t="s">
        <v>45</v>
      </c>
      <c r="F19" s="190">
        <v>2</v>
      </c>
      <c r="G19" s="56" cm="1">
        <f t="array" ref="G19">SUMPRODUCT('2.1. Thưởng NCC - ver1'!$F$7:$Q$24*('2.1. Thưởng NCC - ver1'!$B$7:$B$24='2.2 Thưởng NCC - ver2'!$B19)*('2.1. Thưởng NCC - ver1'!$F$6:$Q$6='2.2 Thưởng NCC - ver2'!$F19)*('2.1. Thưởng NCC - ver1'!$D$7:$D$24='2.2 Thưởng NCC - ver2'!$D19))</f>
        <v>40</v>
      </c>
      <c r="H19" s="18" cm="1">
        <f t="array" ref="H19">SUMPRODUCT('2.1. Thưởng NCC - ver1'!$R$7:$AC$24*('2.1. Thưởng NCC - ver1'!$B$7:$B$24='2.2 Thưởng NCC - ver2'!$B19)*('2.1. Thưởng NCC - ver1'!$R$6:$AC$6='2.2 Thưởng NCC - ver2'!$F19)*('2.1. Thưởng NCC - ver1'!$D$7:$D$24='2.2 Thưởng NCC - ver2'!$D19))</f>
        <v>0</v>
      </c>
      <c r="I19" s="18" cm="1">
        <f t="array" ref="I19">SUMPRODUCT('2.1. Thưởng NCC - ver1'!$AD$7:$AO$24*('2.1. Thưởng NCC - ver1'!$B$7:$B$24='2.2 Thưởng NCC - ver2'!$B19)*('2.1. Thưởng NCC - ver1'!$AD$6:$AO$6='2.2 Thưởng NCC - ver2'!$F19)*('2.1. Thưởng NCC - ver1'!$D$7:$D$24='2.2 Thưởng NCC - ver2'!$D19))</f>
        <v>0</v>
      </c>
      <c r="J19" s="232">
        <f t="shared" si="0"/>
        <v>0</v>
      </c>
      <c r="K19" s="18">
        <v>0</v>
      </c>
      <c r="L19" s="58">
        <f t="shared" si="7"/>
        <v>0</v>
      </c>
      <c r="M19" s="254"/>
      <c r="N19" s="56">
        <f t="shared" si="6"/>
        <v>0</v>
      </c>
      <c r="O19" s="58">
        <f>IF(E19&lt;&gt;"",_xlfn.XLOOKUP($E19,'1. CS Hỗ trợ vận chuyển'!$D$8:$D$42,'1. CS Hỗ trợ vận chuyển'!$H$8:$H$42),0)</f>
        <v>500</v>
      </c>
      <c r="P19" s="254"/>
      <c r="Q19" s="56">
        <f t="shared" si="2"/>
        <v>0</v>
      </c>
      <c r="R19" s="18">
        <f t="shared" si="3"/>
        <v>0</v>
      </c>
      <c r="S19" s="50">
        <v>0</v>
      </c>
      <c r="T19" s="50">
        <v>0</v>
      </c>
      <c r="U19" s="58">
        <f t="shared" si="4"/>
        <v>0</v>
      </c>
      <c r="V19" s="254"/>
      <c r="W19" s="56">
        <f t="shared" si="8"/>
        <v>0</v>
      </c>
      <c r="X19" s="58">
        <v>10000</v>
      </c>
      <c r="Y19" s="254"/>
    </row>
    <row r="20" spans="1:25" outlineLevel="1" x14ac:dyDescent="0.35">
      <c r="A20" s="55">
        <f>ROWS($A$6:A20)</f>
        <v>15</v>
      </c>
      <c r="B20" s="11" t="s">
        <v>25</v>
      </c>
      <c r="C20" s="14" t="s">
        <v>135</v>
      </c>
      <c r="D20" s="175" t="s">
        <v>136</v>
      </c>
      <c r="E20" s="198" t="s">
        <v>30</v>
      </c>
      <c r="F20" s="190">
        <v>2</v>
      </c>
      <c r="G20" s="56" cm="1">
        <f t="array" ref="G20">SUMPRODUCT('2.1. Thưởng NCC - ver1'!$F$7:$Q$24*('2.1. Thưởng NCC - ver1'!$B$7:$B$24='2.2 Thưởng NCC - ver2'!$B20)*('2.1. Thưởng NCC - ver1'!$F$6:$Q$6='2.2 Thưởng NCC - ver2'!$F20)*('2.1. Thưởng NCC - ver1'!$D$7:$D$24='2.2 Thưởng NCC - ver2'!$D20))</f>
        <v>30</v>
      </c>
      <c r="H20" s="18" cm="1">
        <f t="array" ref="H20">SUMPRODUCT('2.1. Thưởng NCC - ver1'!$R$7:$AC$24*('2.1. Thưởng NCC - ver1'!$B$7:$B$24='2.2 Thưởng NCC - ver2'!$B20)*('2.1. Thưởng NCC - ver1'!$R$6:$AC$6='2.2 Thưởng NCC - ver2'!$F20)*('2.1. Thưởng NCC - ver1'!$D$7:$D$24='2.2 Thưởng NCC - ver2'!$D20))</f>
        <v>16.619999999999997</v>
      </c>
      <c r="I20" s="18" cm="1">
        <f t="array" ref="I20">SUMPRODUCT('2.1. Thưởng NCC - ver1'!$AD$7:$AO$24*('2.1. Thưởng NCC - ver1'!$B$7:$B$24='2.2 Thưởng NCC - ver2'!$B20)*('2.1. Thưởng NCC - ver1'!$AD$6:$AO$6='2.2 Thưởng NCC - ver2'!$F20)*('2.1. Thưởng NCC - ver1'!$D$7:$D$24='2.2 Thưởng NCC - ver2'!$D20))</f>
        <v>16.619999999999997</v>
      </c>
      <c r="J20" s="70">
        <f t="shared" si="0"/>
        <v>0.55399999999999994</v>
      </c>
      <c r="K20" s="18">
        <v>9800.0000000000018</v>
      </c>
      <c r="L20" s="58">
        <f t="shared" si="7"/>
        <v>162.876</v>
      </c>
      <c r="M20" s="254"/>
      <c r="N20" s="56">
        <f t="shared" si="6"/>
        <v>0</v>
      </c>
      <c r="O20" s="58">
        <f>IF(E20&lt;&gt;"",_xlfn.XLOOKUP($E20,'1. CS Hỗ trợ vận chuyển'!$D$8:$D$42,'1. CS Hỗ trợ vận chuyển'!$H$8:$H$42),0)</f>
        <v>500</v>
      </c>
      <c r="P20" s="254"/>
      <c r="Q20" s="56">
        <f t="shared" si="2"/>
        <v>0</v>
      </c>
      <c r="R20" s="18">
        <f t="shared" si="3"/>
        <v>8.3099999999999987</v>
      </c>
      <c r="S20" s="50">
        <v>0</v>
      </c>
      <c r="T20" s="50">
        <v>0</v>
      </c>
      <c r="U20" s="58">
        <f t="shared" si="4"/>
        <v>8.3099999999999987</v>
      </c>
      <c r="V20" s="254"/>
      <c r="W20" s="56">
        <f t="shared" si="8"/>
        <v>10300.000000000002</v>
      </c>
      <c r="X20" s="58">
        <v>10000</v>
      </c>
      <c r="Y20" s="254"/>
    </row>
    <row r="21" spans="1:25" outlineLevel="1" x14ac:dyDescent="0.35">
      <c r="A21" s="55">
        <f>ROWS($A$6:A21)</f>
        <v>16</v>
      </c>
      <c r="B21" s="11" t="s">
        <v>25</v>
      </c>
      <c r="C21" s="14" t="s">
        <v>137</v>
      </c>
      <c r="D21" s="175" t="s">
        <v>230</v>
      </c>
      <c r="E21" s="198" t="s">
        <v>34</v>
      </c>
      <c r="F21" s="190">
        <v>2</v>
      </c>
      <c r="G21" s="56" cm="1">
        <f t="array" ref="G21">SUMPRODUCT('2.1. Thưởng NCC - ver1'!$F$7:$Q$24*('2.1. Thưởng NCC - ver1'!$B$7:$B$24='2.2 Thưởng NCC - ver2'!$B21)*('2.1. Thưởng NCC - ver1'!$F$6:$Q$6='2.2 Thưởng NCC - ver2'!$F21)*('2.1. Thưởng NCC - ver1'!$D$7:$D$24='2.2 Thưởng NCC - ver2'!$D21))</f>
        <v>40</v>
      </c>
      <c r="H21" s="18" cm="1">
        <f t="array" ref="H21">SUMPRODUCT('2.1. Thưởng NCC - ver1'!$R$7:$AC$24*('2.1. Thưởng NCC - ver1'!$B$7:$B$24='2.2 Thưởng NCC - ver2'!$B21)*('2.1. Thưởng NCC - ver1'!$R$6:$AC$6='2.2 Thưởng NCC - ver2'!$F21)*('2.1. Thưởng NCC - ver1'!$D$7:$D$24='2.2 Thưởng NCC - ver2'!$D21))</f>
        <v>47.680000000000007</v>
      </c>
      <c r="I21" s="18" cm="1">
        <f t="array" ref="I21">SUMPRODUCT('2.1. Thưởng NCC - ver1'!$AD$7:$AO$24*('2.1. Thưởng NCC - ver1'!$B$7:$B$24='2.2 Thưởng NCC - ver2'!$B21)*('2.1. Thưởng NCC - ver1'!$AD$6:$AO$6='2.2 Thưởng NCC - ver2'!$F21)*('2.1. Thưởng NCC - ver1'!$D$7:$D$24='2.2 Thưởng NCC - ver2'!$D21))</f>
        <v>47.680000000000007</v>
      </c>
      <c r="J21" s="70">
        <f t="shared" si="0"/>
        <v>1.1920000000000002</v>
      </c>
      <c r="K21" s="18">
        <v>9709.6329697986566</v>
      </c>
      <c r="L21" s="58">
        <f t="shared" si="7"/>
        <v>462.95529999999997</v>
      </c>
      <c r="M21" s="254"/>
      <c r="N21" s="56">
        <f t="shared" si="6"/>
        <v>150</v>
      </c>
      <c r="O21" s="58">
        <f>IF(E21&lt;&gt;"",_xlfn.XLOOKUP($E21,'1. CS Hỗ trợ vận chuyển'!$D$8:$D$42,'1. CS Hỗ trợ vận chuyển'!$H$8:$H$42),0)</f>
        <v>500</v>
      </c>
      <c r="P21" s="254"/>
      <c r="Q21" s="56">
        <f t="shared" si="2"/>
        <v>7.152000000000001</v>
      </c>
      <c r="R21" s="18">
        <f t="shared" si="3"/>
        <v>23.840000000000003</v>
      </c>
      <c r="S21" s="50">
        <v>0</v>
      </c>
      <c r="T21" s="50">
        <v>0</v>
      </c>
      <c r="U21" s="58">
        <f t="shared" si="4"/>
        <v>30.992000000000004</v>
      </c>
      <c r="V21" s="254"/>
      <c r="W21" s="56">
        <f t="shared" si="8"/>
        <v>10359.632969798655</v>
      </c>
      <c r="X21" s="58">
        <v>10000</v>
      </c>
      <c r="Y21" s="254"/>
    </row>
    <row r="22" spans="1:25" outlineLevel="1" x14ac:dyDescent="0.35">
      <c r="A22" s="55">
        <f>ROWS($A$6:A22)</f>
        <v>17</v>
      </c>
      <c r="B22" s="11" t="s">
        <v>25</v>
      </c>
      <c r="C22" s="14" t="s">
        <v>127</v>
      </c>
      <c r="D22" s="175" t="s">
        <v>231</v>
      </c>
      <c r="E22" s="198" t="s">
        <v>47</v>
      </c>
      <c r="F22" s="190">
        <v>2</v>
      </c>
      <c r="G22" s="56" cm="1">
        <f t="array" ref="G22">SUMPRODUCT('2.1. Thưởng NCC - ver1'!$F$7:$Q$24*('2.1. Thưởng NCC - ver1'!$B$7:$B$24='2.2 Thưởng NCC - ver2'!$B22)*('2.1. Thưởng NCC - ver1'!$F$6:$Q$6='2.2 Thưởng NCC - ver2'!$F22)*('2.1. Thưởng NCC - ver1'!$D$7:$D$24='2.2 Thưởng NCC - ver2'!$D22))</f>
        <v>0</v>
      </c>
      <c r="H22" s="246" cm="1">
        <f t="array" ref="H22">SUMPRODUCT('2.1. Thưởng NCC - ver1'!$R$7:$AC$24*('2.1. Thưởng NCC - ver1'!$B$7:$B$24='2.2 Thưởng NCC - ver2'!$B22)*('2.1. Thưởng NCC - ver1'!$R$6:$AC$6='2.2 Thưởng NCC - ver2'!$F22)*('2.1. Thưởng NCC - ver1'!$D$7:$D$24='2.2 Thưởng NCC - ver2'!$D22))</f>
        <v>0</v>
      </c>
      <c r="I22" s="18" cm="1">
        <f t="array" ref="I22">SUMPRODUCT('2.1. Thưởng NCC - ver1'!$AD$7:$AO$24*('2.1. Thưởng NCC - ver1'!$B$7:$B$24='2.2 Thưởng NCC - ver2'!$B22)*('2.1. Thưởng NCC - ver1'!$AD$6:$AO$6='2.2 Thưởng NCC - ver2'!$F22)*('2.1. Thưởng NCC - ver1'!$D$7:$D$24='2.2 Thưởng NCC - ver2'!$D22))</f>
        <v>0</v>
      </c>
      <c r="J22" s="70">
        <f t="shared" si="0"/>
        <v>0</v>
      </c>
      <c r="K22" s="18"/>
      <c r="L22" s="58"/>
      <c r="M22" s="254"/>
      <c r="N22" s="56">
        <f t="shared" si="6"/>
        <v>0</v>
      </c>
      <c r="O22" s="58">
        <f>IF(E22&lt;&gt;"",_xlfn.XLOOKUP($E22,'1. CS Hỗ trợ vận chuyển'!$D$8:$D$42,'1. CS Hỗ trợ vận chuyển'!$H$8:$H$42),0)</f>
        <v>400</v>
      </c>
      <c r="P22" s="254"/>
      <c r="Q22" s="56">
        <f t="shared" ref="Q22" si="9">N22*H22/10^3</f>
        <v>0</v>
      </c>
      <c r="R22" s="18">
        <f t="shared" ref="R22" si="10">I22*O22/10^3</f>
        <v>0</v>
      </c>
      <c r="S22" s="50">
        <v>0</v>
      </c>
      <c r="T22" s="50">
        <v>0</v>
      </c>
      <c r="U22" s="58">
        <f t="shared" si="4"/>
        <v>0</v>
      </c>
      <c r="V22" s="254"/>
      <c r="W22" s="56"/>
      <c r="X22" s="58"/>
      <c r="Y22" s="254"/>
    </row>
    <row r="23" spans="1:25" outlineLevel="1" x14ac:dyDescent="0.35">
      <c r="A23" s="55">
        <f>ROWS($A$6:A23)</f>
        <v>18</v>
      </c>
      <c r="B23" s="11" t="s">
        <v>25</v>
      </c>
      <c r="C23" s="14" t="s">
        <v>232</v>
      </c>
      <c r="D23" s="175" t="s">
        <v>233</v>
      </c>
      <c r="E23" s="198" t="s">
        <v>29</v>
      </c>
      <c r="F23" s="190">
        <v>2</v>
      </c>
      <c r="G23" s="56" cm="1">
        <f t="array" ref="G23">SUMPRODUCT('2.1. Thưởng NCC - ver1'!$F$7:$Q$24*('2.1. Thưởng NCC - ver1'!$B$7:$B$24='2.2 Thưởng NCC - ver2'!$B23)*('2.1. Thưởng NCC - ver1'!$F$6:$Q$6='2.2 Thưởng NCC - ver2'!$F23)*('2.1. Thưởng NCC - ver1'!$D$7:$D$24='2.2 Thưởng NCC - ver2'!$D23))</f>
        <v>0</v>
      </c>
      <c r="H23" s="246" cm="1">
        <f t="array" ref="H23">SUMPRODUCT('2.1. Thưởng NCC - ver1'!$R$7:$AC$24*('2.1. Thưởng NCC - ver1'!$B$7:$B$24='2.2 Thưởng NCC - ver2'!$B23)*('2.1. Thưởng NCC - ver1'!$R$6:$AC$6='2.2 Thưởng NCC - ver2'!$F23)*('2.1. Thưởng NCC - ver1'!$D$7:$D$24='2.2 Thưởng NCC - ver2'!$D23))</f>
        <v>0</v>
      </c>
      <c r="I23" s="18" cm="1">
        <f t="array" ref="I23">SUMPRODUCT('2.1. Thưởng NCC - ver1'!$AD$7:$AO$24*('2.1. Thưởng NCC - ver1'!$B$7:$B$24='2.2 Thưởng NCC - ver2'!$B23)*('2.1. Thưởng NCC - ver1'!$AD$6:$AO$6='2.2 Thưởng NCC - ver2'!$F23)*('2.1. Thưởng NCC - ver1'!$D$7:$D$24='2.2 Thưởng NCC - ver2'!$D23))</f>
        <v>0</v>
      </c>
      <c r="J23" s="70">
        <f t="shared" si="0"/>
        <v>0</v>
      </c>
      <c r="K23" s="18"/>
      <c r="L23" s="58"/>
      <c r="M23" s="254"/>
      <c r="N23" s="56">
        <f t="shared" si="6"/>
        <v>0</v>
      </c>
      <c r="O23" s="58">
        <f>IF(E23&lt;&gt;"",_xlfn.XLOOKUP($E23,'1. CS Hỗ trợ vận chuyển'!$D$8:$D$42,'1. CS Hỗ trợ vận chuyển'!$H$8:$H$42),0)</f>
        <v>500</v>
      </c>
      <c r="P23" s="254"/>
      <c r="Q23" s="56">
        <f t="shared" ref="Q23:Q32" si="11">N23*H23/10^3</f>
        <v>0</v>
      </c>
      <c r="R23" s="18">
        <f t="shared" ref="R23:R32" si="12">I23*O23/10^3</f>
        <v>0</v>
      </c>
      <c r="S23" s="50">
        <v>0</v>
      </c>
      <c r="T23" s="50">
        <v>0</v>
      </c>
      <c r="U23" s="58">
        <f t="shared" si="4"/>
        <v>0</v>
      </c>
      <c r="V23" s="254"/>
      <c r="W23" s="56"/>
      <c r="X23" s="58"/>
      <c r="Y23" s="254"/>
    </row>
    <row r="24" spans="1:25" outlineLevel="1" x14ac:dyDescent="0.35">
      <c r="A24" s="55">
        <f>ROWS($A$6:A24)</f>
        <v>19</v>
      </c>
      <c r="B24" s="11" t="s">
        <v>25</v>
      </c>
      <c r="C24" s="14" t="s">
        <v>125</v>
      </c>
      <c r="D24" s="175" t="s">
        <v>126</v>
      </c>
      <c r="E24" s="198" t="s">
        <v>63</v>
      </c>
      <c r="F24" s="190">
        <v>3</v>
      </c>
      <c r="G24" s="56" cm="1">
        <f t="array" ref="G24">SUMPRODUCT('2.1. Thưởng NCC - ver1'!$F$7:$Q$24*('2.1. Thưởng NCC - ver1'!$B$7:$B$24='2.2 Thưởng NCC - ver2'!$B24)*('2.1. Thưởng NCC - ver1'!$F$6:$Q$6='2.2 Thưởng NCC - ver2'!$F24)*('2.1. Thưởng NCC - ver1'!$D$7:$D$24='2.2 Thưởng NCC - ver2'!$D24))</f>
        <v>150</v>
      </c>
      <c r="H24" s="246" cm="1">
        <f t="array" ref="H24">SUMPRODUCT('2.1. Thưởng NCC - ver1'!$R$7:$AC$24*('2.1. Thưởng NCC - ver1'!$B$7:$B$24='2.2 Thưởng NCC - ver2'!$B24)*('2.1. Thưởng NCC - ver1'!$R$6:$AC$6='2.2 Thưởng NCC - ver2'!$F24)*('2.1. Thưởng NCC - ver1'!$D$7:$D$24='2.2 Thưởng NCC - ver2'!$D24))</f>
        <v>143.57300000000001</v>
      </c>
      <c r="I24" s="246" cm="1">
        <f t="array" ref="I24">SUMPRODUCT('2.1. Thưởng NCC - ver1'!$AD$7:$AO$24*('2.1. Thưởng NCC - ver1'!$B$7:$B$24='2.2 Thưởng NCC - ver2'!$B24)*('2.1. Thưởng NCC - ver1'!$AD$6:$AO$6='2.2 Thưởng NCC - ver2'!$F24)*('2.1. Thưởng NCC - ver1'!$D$7:$D$24='2.2 Thưởng NCC - ver2'!$D24))</f>
        <v>143.57300000000001</v>
      </c>
      <c r="J24" s="70">
        <f t="shared" si="0"/>
        <v>0.95715333333333341</v>
      </c>
      <c r="K24" s="18"/>
      <c r="L24" s="58"/>
      <c r="M24" s="254"/>
      <c r="N24" s="56">
        <f t="shared" ref="N24:N34" si="13">IF(J24&lt;95%,0,150)</f>
        <v>150</v>
      </c>
      <c r="O24" s="58">
        <f>IF(E24&lt;&gt;"",_xlfn.XLOOKUP($E24,'1. CS Hỗ trợ vận chuyển'!$D$8:$D$42,'1. CS Hỗ trợ vận chuyển'!$H$8:$H$42),0)</f>
        <v>300</v>
      </c>
      <c r="P24" s="254"/>
      <c r="Q24" s="56">
        <f t="shared" si="11"/>
        <v>21.53595</v>
      </c>
      <c r="R24" s="18">
        <f t="shared" si="12"/>
        <v>43.071899999999999</v>
      </c>
      <c r="S24" s="50">
        <v>0</v>
      </c>
      <c r="T24" s="50">
        <v>0</v>
      </c>
      <c r="U24" s="58">
        <f t="shared" si="4"/>
        <v>64.607849999999999</v>
      </c>
      <c r="V24" s="254"/>
      <c r="W24" s="56"/>
      <c r="X24" s="58"/>
      <c r="Y24" s="254"/>
    </row>
    <row r="25" spans="1:25" outlineLevel="1" x14ac:dyDescent="0.35">
      <c r="A25" s="55">
        <f>ROWS($A$6:A25)</f>
        <v>20</v>
      </c>
      <c r="B25" s="11" t="s">
        <v>25</v>
      </c>
      <c r="C25" s="14" t="s">
        <v>127</v>
      </c>
      <c r="D25" s="175" t="s">
        <v>128</v>
      </c>
      <c r="E25" s="198" t="s">
        <v>47</v>
      </c>
      <c r="F25" s="190">
        <v>3</v>
      </c>
      <c r="G25" s="56" cm="1">
        <f t="array" ref="G25">SUMPRODUCT('2.1. Thưởng NCC - ver1'!$F$7:$Q$24*('2.1. Thưởng NCC - ver1'!$B$7:$B$24='2.2 Thưởng NCC - ver2'!$B25)*('2.1. Thưởng NCC - ver1'!$F$6:$Q$6='2.2 Thưởng NCC - ver2'!$F25)*('2.1. Thưởng NCC - ver1'!$D$7:$D$24='2.2 Thưởng NCC - ver2'!$D25))</f>
        <v>50</v>
      </c>
      <c r="H25" s="246" cm="1">
        <f t="array" ref="H25">SUMPRODUCT('2.1. Thưởng NCC - ver1'!$R$7:$AC$24*('2.1. Thưởng NCC - ver1'!$B$7:$B$24='2.2 Thưởng NCC - ver2'!$B25)*('2.1. Thưởng NCC - ver1'!$R$6:$AC$6='2.2 Thưởng NCC - ver2'!$F25)*('2.1. Thưởng NCC - ver1'!$D$7:$D$24='2.2 Thưởng NCC - ver2'!$D25))</f>
        <v>27.878</v>
      </c>
      <c r="I25" s="18" cm="1">
        <f t="array" ref="I25">SUMPRODUCT('2.1. Thưởng NCC - ver1'!$AD$7:$AO$24*('2.1. Thưởng NCC - ver1'!$B$7:$B$24='2.2 Thưởng NCC - ver2'!$B25)*('2.1. Thưởng NCC - ver1'!$AD$6:$AO$6='2.2 Thưởng NCC - ver2'!$F25)*('2.1. Thưởng NCC - ver1'!$D$7:$D$24='2.2 Thưởng NCC - ver2'!$D25))</f>
        <v>27.878</v>
      </c>
      <c r="J25" s="70">
        <f t="shared" si="0"/>
        <v>0.55756000000000006</v>
      </c>
      <c r="K25" s="18"/>
      <c r="L25" s="58"/>
      <c r="M25" s="254"/>
      <c r="N25" s="56">
        <f t="shared" si="13"/>
        <v>0</v>
      </c>
      <c r="O25" s="58">
        <f>IF(E25&lt;&gt;"",_xlfn.XLOOKUP($E25,'1. CS Hỗ trợ vận chuyển'!$D$8:$D$42,'1. CS Hỗ trợ vận chuyển'!$H$8:$H$42),0)</f>
        <v>400</v>
      </c>
      <c r="P25" s="254"/>
      <c r="Q25" s="56">
        <f t="shared" si="11"/>
        <v>0</v>
      </c>
      <c r="R25" s="18">
        <f t="shared" si="12"/>
        <v>11.151200000000001</v>
      </c>
      <c r="S25" s="50">
        <v>0</v>
      </c>
      <c r="T25" s="50">
        <v>0</v>
      </c>
      <c r="U25" s="58">
        <f t="shared" si="4"/>
        <v>11.151200000000001</v>
      </c>
      <c r="V25" s="254"/>
      <c r="W25" s="56"/>
      <c r="X25" s="58"/>
      <c r="Y25" s="254"/>
    </row>
    <row r="26" spans="1:25" outlineLevel="1" x14ac:dyDescent="0.35">
      <c r="A26" s="55">
        <f>ROWS($A$6:A26)</f>
        <v>21</v>
      </c>
      <c r="B26" s="11" t="s">
        <v>25</v>
      </c>
      <c r="C26" s="14" t="s">
        <v>129</v>
      </c>
      <c r="D26" s="175" t="s">
        <v>221</v>
      </c>
      <c r="E26" s="198" t="s">
        <v>48</v>
      </c>
      <c r="F26" s="190">
        <v>3</v>
      </c>
      <c r="G26" s="56" cm="1">
        <f t="array" ref="G26">SUMPRODUCT('2.1. Thưởng NCC - ver1'!$F$7:$Q$24*('2.1. Thưởng NCC - ver1'!$B$7:$B$24='2.2 Thưởng NCC - ver2'!$B26)*('2.1. Thưởng NCC - ver1'!$F$6:$Q$6='2.2 Thưởng NCC - ver2'!$F26)*('2.1. Thưởng NCC - ver1'!$D$7:$D$24='2.2 Thưởng NCC - ver2'!$D26))</f>
        <v>60</v>
      </c>
      <c r="H26" s="246" cm="1">
        <f t="array" ref="H26">SUMPRODUCT('2.1. Thưởng NCC - ver1'!$R$7:$AC$24*('2.1. Thưởng NCC - ver1'!$B$7:$B$24='2.2 Thưởng NCC - ver2'!$B26)*('2.1. Thưởng NCC - ver1'!$R$6:$AC$6='2.2 Thưởng NCC - ver2'!$F26)*('2.1. Thưởng NCC - ver1'!$D$7:$D$24='2.2 Thưởng NCC - ver2'!$D26))</f>
        <v>78.429000000000002</v>
      </c>
      <c r="I26" s="18" cm="1">
        <f t="array" ref="I26">SUMPRODUCT('2.1. Thưởng NCC - ver1'!$AD$7:$AO$24*('2.1. Thưởng NCC - ver1'!$B$7:$B$24='2.2 Thưởng NCC - ver2'!$B26)*('2.1. Thưởng NCC - ver1'!$AD$6:$AO$6='2.2 Thưởng NCC - ver2'!$F26)*('2.1. Thưởng NCC - ver1'!$D$7:$D$24='2.2 Thưởng NCC - ver2'!$D26))</f>
        <v>78.429000000000002</v>
      </c>
      <c r="J26" s="70">
        <f t="shared" si="0"/>
        <v>1.30715</v>
      </c>
      <c r="K26" s="18"/>
      <c r="L26" s="58"/>
      <c r="M26" s="254"/>
      <c r="N26" s="56">
        <f t="shared" si="13"/>
        <v>150</v>
      </c>
      <c r="O26" s="58">
        <f>IF(E26&lt;&gt;"",_xlfn.XLOOKUP($E26,'1. CS Hỗ trợ vận chuyển'!$D$8:$D$42,'1. CS Hỗ trợ vận chuyển'!$H$8:$H$42),0)</f>
        <v>400</v>
      </c>
      <c r="P26" s="254"/>
      <c r="Q26" s="56">
        <f t="shared" si="11"/>
        <v>11.76435</v>
      </c>
      <c r="R26" s="18">
        <f t="shared" si="12"/>
        <v>31.371600000000001</v>
      </c>
      <c r="S26" s="50">
        <v>0</v>
      </c>
      <c r="T26" s="50">
        <v>0</v>
      </c>
      <c r="U26" s="58">
        <f t="shared" si="4"/>
        <v>43.135950000000001</v>
      </c>
      <c r="V26" s="254"/>
      <c r="W26" s="56"/>
      <c r="X26" s="58"/>
      <c r="Y26" s="254"/>
    </row>
    <row r="27" spans="1:25" outlineLevel="1" x14ac:dyDescent="0.35">
      <c r="A27" s="55">
        <f>ROWS($A$6:A27)</f>
        <v>22</v>
      </c>
      <c r="B27" s="11" t="s">
        <v>25</v>
      </c>
      <c r="C27" s="14" t="s">
        <v>131</v>
      </c>
      <c r="D27" s="175" t="s">
        <v>132</v>
      </c>
      <c r="E27" s="198" t="s">
        <v>31</v>
      </c>
      <c r="F27" s="190">
        <v>3</v>
      </c>
      <c r="G27" s="56" cm="1">
        <f t="array" ref="G27">SUMPRODUCT('2.1. Thưởng NCC - ver1'!$F$7:$Q$24*('2.1. Thưởng NCC - ver1'!$B$7:$B$24='2.2 Thưởng NCC - ver2'!$B27)*('2.1. Thưởng NCC - ver1'!$F$6:$Q$6='2.2 Thưởng NCC - ver2'!$F27)*('2.1. Thưởng NCC - ver1'!$D$7:$D$24='2.2 Thưởng NCC - ver2'!$D27))</f>
        <v>80</v>
      </c>
      <c r="H27" s="246" cm="1">
        <f t="array" ref="H27">SUMPRODUCT('2.1. Thưởng NCC - ver1'!$R$7:$AC$24*('2.1. Thưởng NCC - ver1'!$B$7:$B$24='2.2 Thưởng NCC - ver2'!$B27)*('2.1. Thưởng NCC - ver1'!$R$6:$AC$6='2.2 Thưởng NCC - ver2'!$F27)*('2.1. Thưởng NCC - ver1'!$D$7:$D$24='2.2 Thưởng NCC - ver2'!$D27))</f>
        <v>88.111000000000004</v>
      </c>
      <c r="I27" s="18" cm="1">
        <f t="array" ref="I27">SUMPRODUCT('2.1. Thưởng NCC - ver1'!$AD$7:$AO$24*('2.1. Thưởng NCC - ver1'!$B$7:$B$24='2.2 Thưởng NCC - ver2'!$B27)*('2.1. Thưởng NCC - ver1'!$AD$6:$AO$6='2.2 Thưởng NCC - ver2'!$F27)*('2.1. Thưởng NCC - ver1'!$D$7:$D$24='2.2 Thưởng NCC - ver2'!$D27))</f>
        <v>88.111000000000004</v>
      </c>
      <c r="J27" s="70">
        <f t="shared" si="0"/>
        <v>1.1013875</v>
      </c>
      <c r="K27" s="18"/>
      <c r="L27" s="58"/>
      <c r="M27" s="254"/>
      <c r="N27" s="56">
        <f t="shared" si="13"/>
        <v>150</v>
      </c>
      <c r="O27" s="58">
        <f>IF(E27&lt;&gt;"",_xlfn.XLOOKUP($E27,'1. CS Hỗ trợ vận chuyển'!$D$8:$D$42,'1. CS Hỗ trợ vận chuyển'!$H$8:$H$42),0)</f>
        <v>400</v>
      </c>
      <c r="P27" s="254"/>
      <c r="Q27" s="56">
        <f t="shared" si="11"/>
        <v>13.216650000000001</v>
      </c>
      <c r="R27" s="18">
        <f t="shared" si="12"/>
        <v>35.244399999999999</v>
      </c>
      <c r="S27" s="50">
        <v>0</v>
      </c>
      <c r="T27" s="50">
        <v>0</v>
      </c>
      <c r="U27" s="58">
        <f t="shared" si="4"/>
        <v>48.46105</v>
      </c>
      <c r="V27" s="254"/>
      <c r="W27" s="56"/>
      <c r="X27" s="58"/>
      <c r="Y27" s="254"/>
    </row>
    <row r="28" spans="1:25" outlineLevel="1" x14ac:dyDescent="0.35">
      <c r="A28" s="55">
        <f>ROWS($A$6:A28)</f>
        <v>23</v>
      </c>
      <c r="B28" s="11" t="s">
        <v>25</v>
      </c>
      <c r="C28" s="14" t="s">
        <v>133</v>
      </c>
      <c r="D28" s="175" t="s">
        <v>134</v>
      </c>
      <c r="E28" s="198" t="s">
        <v>45</v>
      </c>
      <c r="F28" s="190">
        <v>3</v>
      </c>
      <c r="G28" s="56" cm="1">
        <f t="array" ref="G28">SUMPRODUCT('2.1. Thưởng NCC - ver1'!$F$7:$Q$24*('2.1. Thưởng NCC - ver1'!$B$7:$B$24='2.2 Thưởng NCC - ver2'!$B28)*('2.1. Thưởng NCC - ver1'!$F$6:$Q$6='2.2 Thưởng NCC - ver2'!$F28)*('2.1. Thưởng NCC - ver1'!$D$7:$D$24='2.2 Thưởng NCC - ver2'!$D28))</f>
        <v>60</v>
      </c>
      <c r="H28" s="246" cm="1">
        <f t="array" ref="H28">SUMPRODUCT('2.1. Thưởng NCC - ver1'!$R$7:$AC$24*('2.1. Thưởng NCC - ver1'!$B$7:$B$24='2.2 Thưởng NCC - ver2'!$B28)*('2.1. Thưởng NCC - ver1'!$R$6:$AC$6='2.2 Thưởng NCC - ver2'!$F28)*('2.1. Thưởng NCC - ver1'!$D$7:$D$24='2.2 Thưởng NCC - ver2'!$D28))</f>
        <v>40.075000000000003</v>
      </c>
      <c r="I28" s="18" cm="1">
        <f t="array" ref="I28">SUMPRODUCT('2.1. Thưởng NCC - ver1'!$AD$7:$AO$24*('2.1. Thưởng NCC - ver1'!$B$7:$B$24='2.2 Thưởng NCC - ver2'!$B28)*('2.1. Thưởng NCC - ver1'!$AD$6:$AO$6='2.2 Thưởng NCC - ver2'!$F28)*('2.1. Thưởng NCC - ver1'!$D$7:$D$24='2.2 Thưởng NCC - ver2'!$D28))</f>
        <v>40.075000000000003</v>
      </c>
      <c r="J28" s="70">
        <f t="shared" si="0"/>
        <v>0.66791666666666671</v>
      </c>
      <c r="K28" s="18"/>
      <c r="L28" s="58"/>
      <c r="M28" s="254"/>
      <c r="N28" s="56">
        <f t="shared" si="13"/>
        <v>0</v>
      </c>
      <c r="O28" s="58">
        <f>IF(E28&lt;&gt;"",_xlfn.XLOOKUP($E28,'1. CS Hỗ trợ vận chuyển'!$D$8:$D$42,'1. CS Hỗ trợ vận chuyển'!$H$8:$H$42),0)</f>
        <v>500</v>
      </c>
      <c r="P28" s="254"/>
      <c r="Q28" s="56">
        <f t="shared" si="11"/>
        <v>0</v>
      </c>
      <c r="R28" s="18">
        <f t="shared" si="12"/>
        <v>20.037500000000001</v>
      </c>
      <c r="S28" s="50">
        <v>0</v>
      </c>
      <c r="T28" s="50">
        <v>0</v>
      </c>
      <c r="U28" s="58">
        <f t="shared" si="4"/>
        <v>20.037500000000001</v>
      </c>
      <c r="V28" s="254"/>
      <c r="W28" s="56"/>
      <c r="X28" s="58"/>
      <c r="Y28" s="254"/>
    </row>
    <row r="29" spans="1:25" outlineLevel="1" x14ac:dyDescent="0.35">
      <c r="A29" s="55">
        <f>ROWS($A$6:A29)</f>
        <v>24</v>
      </c>
      <c r="B29" s="11" t="s">
        <v>25</v>
      </c>
      <c r="C29" s="14" t="s">
        <v>135</v>
      </c>
      <c r="D29" s="175" t="s">
        <v>136</v>
      </c>
      <c r="E29" s="198" t="s">
        <v>30</v>
      </c>
      <c r="F29" s="190">
        <v>3</v>
      </c>
      <c r="G29" s="56" cm="1">
        <f t="array" ref="G29">SUMPRODUCT('2.1. Thưởng NCC - ver1'!$F$7:$Q$24*('2.1. Thưởng NCC - ver1'!$B$7:$B$24='2.2 Thưởng NCC - ver2'!$B29)*('2.1. Thưởng NCC - ver1'!$F$6:$Q$6='2.2 Thưởng NCC - ver2'!$F29)*('2.1. Thưởng NCC - ver1'!$D$7:$D$24='2.2 Thưởng NCC - ver2'!$D29))</f>
        <v>60</v>
      </c>
      <c r="H29" s="246" cm="1">
        <f t="array" ref="H29">SUMPRODUCT('2.1. Thưởng NCC - ver1'!$R$7:$AC$24*('2.1. Thưởng NCC - ver1'!$B$7:$B$24='2.2 Thưởng NCC - ver2'!$B29)*('2.1. Thưởng NCC - ver1'!$R$6:$AC$6='2.2 Thưởng NCC - ver2'!$F29)*('2.1. Thưởng NCC - ver1'!$D$7:$D$24='2.2 Thưởng NCC - ver2'!$D29))</f>
        <v>71.822999999999993</v>
      </c>
      <c r="I29" s="18" cm="1">
        <f t="array" ref="I29">SUMPRODUCT('2.1. Thưởng NCC - ver1'!$AD$7:$AO$24*('2.1. Thưởng NCC - ver1'!$B$7:$B$24='2.2 Thưởng NCC - ver2'!$B29)*('2.1. Thưởng NCC - ver1'!$AD$6:$AO$6='2.2 Thưởng NCC - ver2'!$F29)*('2.1. Thưởng NCC - ver1'!$D$7:$D$24='2.2 Thưởng NCC - ver2'!$D29))</f>
        <v>71.822999999999993</v>
      </c>
      <c r="J29" s="70">
        <f t="shared" si="0"/>
        <v>1.1970499999999999</v>
      </c>
      <c r="K29" s="18"/>
      <c r="L29" s="58"/>
      <c r="M29" s="254"/>
      <c r="N29" s="56">
        <f t="shared" si="13"/>
        <v>150</v>
      </c>
      <c r="O29" s="58">
        <f>IF(E29&lt;&gt;"",_xlfn.XLOOKUP($E29,'1. CS Hỗ trợ vận chuyển'!$D$8:$D$42,'1. CS Hỗ trợ vận chuyển'!$H$8:$H$42),0)</f>
        <v>500</v>
      </c>
      <c r="P29" s="254"/>
      <c r="Q29" s="56">
        <f t="shared" si="11"/>
        <v>10.773449999999999</v>
      </c>
      <c r="R29" s="18">
        <f t="shared" si="12"/>
        <v>35.911499999999997</v>
      </c>
      <c r="S29" s="50">
        <v>0</v>
      </c>
      <c r="T29" s="50">
        <v>0</v>
      </c>
      <c r="U29" s="58">
        <f t="shared" si="4"/>
        <v>46.684949999999994</v>
      </c>
      <c r="V29" s="254"/>
      <c r="W29" s="56"/>
      <c r="X29" s="58"/>
      <c r="Y29" s="254"/>
    </row>
    <row r="30" spans="1:25" outlineLevel="1" x14ac:dyDescent="0.35">
      <c r="A30" s="55">
        <f>ROWS($A$6:A30)</f>
        <v>25</v>
      </c>
      <c r="B30" s="11" t="s">
        <v>25</v>
      </c>
      <c r="C30" s="14" t="s">
        <v>137</v>
      </c>
      <c r="D30" s="175" t="s">
        <v>230</v>
      </c>
      <c r="E30" s="198" t="s">
        <v>34</v>
      </c>
      <c r="F30" s="190">
        <v>3</v>
      </c>
      <c r="G30" s="56" cm="1">
        <f t="array" ref="G30">SUMPRODUCT('2.1. Thưởng NCC - ver1'!$F$7:$Q$24*('2.1. Thưởng NCC - ver1'!$B$7:$B$24='2.2 Thưởng NCC - ver2'!$B30)*('2.1. Thưởng NCC - ver1'!$F$6:$Q$6='2.2 Thưởng NCC - ver2'!$F30)*('2.1. Thưởng NCC - ver1'!$D$7:$D$24='2.2 Thưởng NCC - ver2'!$D30))</f>
        <v>100</v>
      </c>
      <c r="H30" s="246" cm="1">
        <f t="array" ref="H30">SUMPRODUCT('2.1. Thưởng NCC - ver1'!$R$7:$AC$24*('2.1. Thưởng NCC - ver1'!$B$7:$B$24='2.2 Thưởng NCC - ver2'!$B30)*('2.1. Thưởng NCC - ver1'!$R$6:$AC$6='2.2 Thưởng NCC - ver2'!$F30)*('2.1. Thưởng NCC - ver1'!$D$7:$D$24='2.2 Thưởng NCC - ver2'!$D30))</f>
        <v>131.46199999999999</v>
      </c>
      <c r="I30" s="18" cm="1">
        <f t="array" ref="I30">SUMPRODUCT('2.1. Thưởng NCC - ver1'!$AD$7:$AO$24*('2.1. Thưởng NCC - ver1'!$B$7:$B$24='2.2 Thưởng NCC - ver2'!$B30)*('2.1. Thưởng NCC - ver1'!$AD$6:$AO$6='2.2 Thưởng NCC - ver2'!$F30)*('2.1. Thưởng NCC - ver1'!$D$7:$D$24='2.2 Thưởng NCC - ver2'!$D30))</f>
        <v>131.46199999999999</v>
      </c>
      <c r="J30" s="70">
        <f t="shared" si="0"/>
        <v>1.3146199999999999</v>
      </c>
      <c r="K30" s="18"/>
      <c r="L30" s="58"/>
      <c r="M30" s="254"/>
      <c r="N30" s="56">
        <f t="shared" si="13"/>
        <v>150</v>
      </c>
      <c r="O30" s="58">
        <f>IF(E30&lt;&gt;"",_xlfn.XLOOKUP($E30,'1. CS Hỗ trợ vận chuyển'!$D$8:$D$42,'1. CS Hỗ trợ vận chuyển'!$H$8:$H$42),0)</f>
        <v>500</v>
      </c>
      <c r="P30" s="254"/>
      <c r="Q30" s="56">
        <f t="shared" si="11"/>
        <v>19.7193</v>
      </c>
      <c r="R30" s="18">
        <f t="shared" si="12"/>
        <v>65.730999999999995</v>
      </c>
      <c r="S30" s="50">
        <v>0</v>
      </c>
      <c r="T30" s="50">
        <v>0</v>
      </c>
      <c r="U30" s="58">
        <f t="shared" si="4"/>
        <v>85.450299999999999</v>
      </c>
      <c r="V30" s="254"/>
      <c r="W30" s="56"/>
      <c r="X30" s="58"/>
      <c r="Y30" s="254"/>
    </row>
    <row r="31" spans="1:25" outlineLevel="1" x14ac:dyDescent="0.35">
      <c r="A31" s="55">
        <f>ROWS($A$6:A31)</f>
        <v>26</v>
      </c>
      <c r="B31" s="11" t="s">
        <v>25</v>
      </c>
      <c r="C31" s="14" t="s">
        <v>127</v>
      </c>
      <c r="D31" s="175" t="s">
        <v>231</v>
      </c>
      <c r="E31" s="289" t="s">
        <v>47</v>
      </c>
      <c r="F31" s="190">
        <v>3</v>
      </c>
      <c r="G31" s="56" cm="1">
        <f t="array" ref="G31">SUMPRODUCT('2.1. Thưởng NCC - ver1'!$F$7:$Q$24*('2.1. Thưởng NCC - ver1'!$B$7:$B$24='2.2 Thưởng NCC - ver2'!$B31)*('2.1. Thưởng NCC - ver1'!$F$6:$Q$6='2.2 Thưởng NCC - ver2'!$F31)*('2.1. Thưởng NCC - ver1'!$D$7:$D$24='2.2 Thưởng NCC - ver2'!$D31))</f>
        <v>0</v>
      </c>
      <c r="H31" s="246" cm="1">
        <f t="array" ref="H31">SUMPRODUCT('2.1. Thưởng NCC - ver1'!$R$7:$AC$24*('2.1. Thưởng NCC - ver1'!$B$7:$B$24='2.2 Thưởng NCC - ver2'!$B31)*('2.1. Thưởng NCC - ver1'!$R$6:$AC$6='2.2 Thưởng NCC - ver2'!$F31)*('2.1. Thưởng NCC - ver1'!$D$7:$D$24='2.2 Thưởng NCC - ver2'!$D31))</f>
        <v>0</v>
      </c>
      <c r="I31" s="18" cm="1">
        <f t="array" ref="I31">SUMPRODUCT('2.1. Thưởng NCC - ver1'!$AD$7:$AO$24*('2.1. Thưởng NCC - ver1'!$B$7:$B$24='2.2 Thưởng NCC - ver2'!$B31)*('2.1. Thưởng NCC - ver1'!$AD$6:$AO$6='2.2 Thưởng NCC - ver2'!$F31)*('2.1. Thưởng NCC - ver1'!$D$7:$D$24='2.2 Thưởng NCC - ver2'!$D31))</f>
        <v>0</v>
      </c>
      <c r="J31" s="70">
        <f t="shared" si="0"/>
        <v>0</v>
      </c>
      <c r="K31" s="18"/>
      <c r="L31" s="58"/>
      <c r="M31" s="254"/>
      <c r="N31" s="56">
        <f t="shared" si="13"/>
        <v>0</v>
      </c>
      <c r="O31" s="58">
        <f>IF(E31&lt;&gt;"",_xlfn.XLOOKUP($E31,'1. CS Hỗ trợ vận chuyển'!$D$8:$D$42,'1. CS Hỗ trợ vận chuyển'!$H$8:$H$42),0)</f>
        <v>400</v>
      </c>
      <c r="P31" s="254"/>
      <c r="Q31" s="56">
        <f t="shared" si="11"/>
        <v>0</v>
      </c>
      <c r="R31" s="18">
        <f t="shared" si="12"/>
        <v>0</v>
      </c>
      <c r="S31" s="50">
        <v>0</v>
      </c>
      <c r="T31" s="50">
        <v>0</v>
      </c>
      <c r="U31" s="58">
        <f t="shared" si="4"/>
        <v>0</v>
      </c>
      <c r="V31" s="254"/>
      <c r="W31" s="56"/>
      <c r="X31" s="58"/>
      <c r="Y31" s="254"/>
    </row>
    <row r="32" spans="1:25" outlineLevel="1" x14ac:dyDescent="0.35">
      <c r="A32" s="55">
        <f>ROWS($A$6:A32)</f>
        <v>27</v>
      </c>
      <c r="B32" s="11" t="s">
        <v>25</v>
      </c>
      <c r="C32" s="14" t="s">
        <v>232</v>
      </c>
      <c r="D32" s="175" t="s">
        <v>233</v>
      </c>
      <c r="E32" s="289" t="s">
        <v>29</v>
      </c>
      <c r="F32" s="190">
        <v>3</v>
      </c>
      <c r="G32" s="56" cm="1">
        <f t="array" ref="G32">SUMPRODUCT('2.1. Thưởng NCC - ver1'!$F$7:$Q$24*('2.1. Thưởng NCC - ver1'!$B$7:$B$24='2.2 Thưởng NCC - ver2'!$B32)*('2.1. Thưởng NCC - ver1'!$F$6:$Q$6='2.2 Thưởng NCC - ver2'!$F32)*('2.1. Thưởng NCC - ver1'!$D$7:$D$24='2.2 Thưởng NCC - ver2'!$D32))</f>
        <v>60</v>
      </c>
      <c r="H32" s="246" cm="1">
        <f t="array" ref="H32">SUMPRODUCT('2.1. Thưởng NCC - ver1'!$R$7:$AC$24*('2.1. Thưởng NCC - ver1'!$B$7:$B$24='2.2 Thưởng NCC - ver2'!$B32)*('2.1. Thưởng NCC - ver1'!$R$6:$AC$6='2.2 Thưởng NCC - ver2'!$F32)*('2.1. Thưởng NCC - ver1'!$D$7:$D$24='2.2 Thưởng NCC - ver2'!$D32))</f>
        <v>63.79</v>
      </c>
      <c r="I32" s="18" cm="1">
        <f t="array" ref="I32">SUMPRODUCT('2.1. Thưởng NCC - ver1'!$AD$7:$AO$24*('2.1. Thưởng NCC - ver1'!$B$7:$B$24='2.2 Thưởng NCC - ver2'!$B32)*('2.1. Thưởng NCC - ver1'!$AD$6:$AO$6='2.2 Thưởng NCC - ver2'!$F32)*('2.1. Thưởng NCC - ver1'!$D$7:$D$24='2.2 Thưởng NCC - ver2'!$D32))</f>
        <v>63.79</v>
      </c>
      <c r="J32" s="70">
        <f t="shared" si="0"/>
        <v>1.0631666666666666</v>
      </c>
      <c r="K32" s="18"/>
      <c r="L32" s="58"/>
      <c r="M32" s="254"/>
      <c r="N32" s="56">
        <f t="shared" si="13"/>
        <v>150</v>
      </c>
      <c r="O32" s="58">
        <f>IF(E32&lt;&gt;"",_xlfn.XLOOKUP($E32,'1. CS Hỗ trợ vận chuyển'!$D$8:$D$42,'1. CS Hỗ trợ vận chuyển'!$H$8:$H$42),0)</f>
        <v>500</v>
      </c>
      <c r="P32" s="254"/>
      <c r="Q32" s="56">
        <f t="shared" si="11"/>
        <v>9.5685000000000002</v>
      </c>
      <c r="R32" s="18">
        <f t="shared" si="12"/>
        <v>31.895</v>
      </c>
      <c r="S32" s="50">
        <v>0</v>
      </c>
      <c r="T32" s="50">
        <v>0</v>
      </c>
      <c r="U32" s="58">
        <f t="shared" si="4"/>
        <v>41.463499999999996</v>
      </c>
      <c r="V32" s="254"/>
      <c r="W32" s="56"/>
      <c r="X32" s="58"/>
      <c r="Y32" s="254"/>
    </row>
    <row r="33" spans="1:26" outlineLevel="1" x14ac:dyDescent="0.35">
      <c r="A33" s="55">
        <f>ROWS($A$6:A33)</f>
        <v>28</v>
      </c>
      <c r="B33" s="11"/>
      <c r="C33" s="14"/>
      <c r="D33" s="175"/>
      <c r="E33" s="198"/>
      <c r="F33" s="190"/>
      <c r="G33" s="56"/>
      <c r="H33" s="246"/>
      <c r="I33" s="18"/>
      <c r="J33" s="70"/>
      <c r="K33" s="18"/>
      <c r="L33" s="58"/>
      <c r="M33" s="254"/>
      <c r="N33" s="56">
        <f t="shared" si="13"/>
        <v>0</v>
      </c>
      <c r="O33" s="58">
        <f>IF(E33&lt;&gt;"",_xlfn.XLOOKUP($E33,'1. CS Hỗ trợ vận chuyển'!$D$8:$D$42,'1. CS Hỗ trợ vận chuyển'!$H$8:$H$42),0)</f>
        <v>0</v>
      </c>
      <c r="P33" s="254"/>
      <c r="Q33" s="56">
        <f t="shared" ref="Q33:Q34" si="14">N33*H33/10^3</f>
        <v>0</v>
      </c>
      <c r="R33" s="18">
        <f t="shared" ref="R33:R34" si="15">I33*O33/10^3</f>
        <v>0</v>
      </c>
      <c r="S33" s="50">
        <v>0</v>
      </c>
      <c r="T33" s="50">
        <v>0</v>
      </c>
      <c r="U33" s="58">
        <f t="shared" si="4"/>
        <v>0</v>
      </c>
      <c r="V33" s="254"/>
      <c r="W33" s="56"/>
      <c r="X33" s="58"/>
      <c r="Y33" s="254"/>
    </row>
    <row r="34" spans="1:26" outlineLevel="1" x14ac:dyDescent="0.35">
      <c r="A34" s="55">
        <f>ROWS($A$6:A34)</f>
        <v>29</v>
      </c>
      <c r="B34" s="11"/>
      <c r="C34" s="14"/>
      <c r="D34" s="175"/>
      <c r="E34" s="198"/>
      <c r="F34" s="190"/>
      <c r="G34" s="56"/>
      <c r="H34" s="246"/>
      <c r="I34" s="18"/>
      <c r="J34" s="70"/>
      <c r="K34" s="18"/>
      <c r="L34" s="58"/>
      <c r="M34" s="254"/>
      <c r="N34" s="56">
        <f t="shared" si="13"/>
        <v>0</v>
      </c>
      <c r="O34" s="58">
        <f>IF(E34&lt;&gt;"",_xlfn.XLOOKUP($E34,'1. CS Hỗ trợ vận chuyển'!$D$8:$D$42,'1. CS Hỗ trợ vận chuyển'!$H$8:$H$42),0)</f>
        <v>0</v>
      </c>
      <c r="P34" s="254"/>
      <c r="Q34" s="56">
        <f t="shared" si="14"/>
        <v>0</v>
      </c>
      <c r="R34" s="18">
        <f t="shared" si="15"/>
        <v>0</v>
      </c>
      <c r="S34" s="50">
        <v>0</v>
      </c>
      <c r="T34" s="50">
        <v>0</v>
      </c>
      <c r="U34" s="58">
        <f t="shared" si="4"/>
        <v>0</v>
      </c>
      <c r="V34" s="254"/>
      <c r="W34" s="56"/>
      <c r="X34" s="58"/>
      <c r="Y34" s="254"/>
    </row>
    <row r="35" spans="1:26" x14ac:dyDescent="0.35">
      <c r="A35" s="206"/>
      <c r="B35" s="207" t="s">
        <v>1248</v>
      </c>
      <c r="C35" s="207"/>
      <c r="D35" s="207"/>
      <c r="E35" s="207"/>
      <c r="F35" s="208"/>
      <c r="G35" s="209">
        <f>SUM(G6:G34)</f>
        <v>1525</v>
      </c>
      <c r="H35" s="210">
        <f>SUM(H6:H34)</f>
        <v>1803.1680000000001</v>
      </c>
      <c r="I35" s="210">
        <f>SUM(I6:I34)</f>
        <v>1803.1680000000001</v>
      </c>
      <c r="J35" s="238"/>
      <c r="K35" s="237"/>
      <c r="L35" s="239"/>
      <c r="M35" s="254"/>
      <c r="N35" s="236"/>
      <c r="O35" s="239"/>
      <c r="P35" s="254"/>
      <c r="Q35" s="349">
        <f>SUM(Q6:Q34)</f>
        <v>244.56645</v>
      </c>
      <c r="R35" s="210">
        <f>SUM(R6:R34)</f>
        <v>711.1849000000002</v>
      </c>
      <c r="S35" s="210">
        <f>SUM(S6:S34)</f>
        <v>0</v>
      </c>
      <c r="T35" s="210">
        <f>SUM(T6:T34)</f>
        <v>0</v>
      </c>
      <c r="U35" s="212">
        <f>SUM(U6:U34)</f>
        <v>955.75134999999977</v>
      </c>
      <c r="V35" s="254"/>
      <c r="W35" s="236"/>
      <c r="X35" s="239"/>
      <c r="Y35" s="254"/>
      <c r="Z35" s="254"/>
    </row>
    <row r="36" spans="1:26" outlineLevel="1" x14ac:dyDescent="0.35">
      <c r="A36" s="55">
        <f>ROWS($A$36:A36)</f>
        <v>1</v>
      </c>
      <c r="B36" s="11" t="s">
        <v>65</v>
      </c>
      <c r="C36" s="14" t="s">
        <v>139</v>
      </c>
      <c r="D36" s="175" t="s">
        <v>140</v>
      </c>
      <c r="E36" s="198" t="s">
        <v>59</v>
      </c>
      <c r="F36" s="190">
        <v>1</v>
      </c>
      <c r="G36" s="56" cm="1">
        <f t="array" ref="G36">SUMPRODUCT('2.1. Thưởng NCC - ver1'!$F$7:$Q$24*('2.1. Thưởng NCC - ver1'!$B$7:$B$24='2.2 Thưởng NCC - ver2'!$B36)*('2.1. Thưởng NCC - ver1'!$F$6:$Q$6='2.2 Thưởng NCC - ver2'!$F36)*('2.1. Thưởng NCC - ver1'!$D$7:$D$24='2.2 Thưởng NCC - ver2'!$D36))</f>
        <v>20</v>
      </c>
      <c r="H36" s="18" cm="1">
        <f t="array" ref="H36">SUMPRODUCT('2.1. Thưởng NCC - ver1'!$R$7:$AC$24*('2.1. Thưởng NCC - ver1'!$B$7:$B$24='2.2 Thưởng NCC - ver2'!$B36)*('2.1. Thưởng NCC - ver1'!$R$6:$AC$6='2.2 Thưởng NCC - ver2'!$F36)*('2.1. Thưởng NCC - ver1'!$D$7:$D$24='2.2 Thưởng NCC - ver2'!$D36))</f>
        <v>7.8460000000000001</v>
      </c>
      <c r="I36" s="18" cm="1">
        <f t="array" ref="I36">SUMPRODUCT('2.1. Thưởng NCC - ver1'!$AD$7:$AO$24*('2.1. Thưởng NCC - ver1'!$B$7:$B$24='2.2 Thưởng NCC - ver2'!$B36)*('2.1. Thưởng NCC - ver1'!$AD$6:$AO$6='2.2 Thưởng NCC - ver2'!$F36)*('2.1. Thưởng NCC - ver1'!$D$7:$D$24='2.2 Thưởng NCC - ver2'!$D36))</f>
        <v>7.8460000000000001</v>
      </c>
      <c r="J36" s="232">
        <f t="shared" ref="J36:J43" si="16">IFERROR(H36/G36,0)</f>
        <v>0.39229999999999998</v>
      </c>
      <c r="K36" s="18">
        <v>9700</v>
      </c>
      <c r="L36" s="58">
        <f>K36*H36/10^3</f>
        <v>76.106200000000001</v>
      </c>
      <c r="M36" s="254"/>
      <c r="N36" s="56">
        <f t="shared" si="6"/>
        <v>0</v>
      </c>
      <c r="O36" s="58">
        <f>IF(E36&lt;&gt;"",_xlfn.XLOOKUP($E36,'1. CS Hỗ trợ vận chuyển'!$D$8:$D$42,'1. CS Hỗ trợ vận chuyển'!$H$8:$H$42),0)</f>
        <v>400</v>
      </c>
      <c r="P36" s="254"/>
      <c r="Q36" s="56">
        <f>N36*H36/10^3</f>
        <v>0</v>
      </c>
      <c r="R36" s="18">
        <f>I36*O36/10^3</f>
        <v>3.1384000000000003</v>
      </c>
      <c r="S36" s="18">
        <f>10000000/10^6</f>
        <v>10</v>
      </c>
      <c r="T36" s="18">
        <f>5000000/10^6</f>
        <v>5</v>
      </c>
      <c r="U36" s="58">
        <f>SUM(Q36,R36,S36,T36)</f>
        <v>18.138400000000001</v>
      </c>
      <c r="V36" s="254"/>
      <c r="W36" s="56">
        <f>IFERROR((SUM(Q36,R36,S36,T36)+(H36*K36/10^3))/H36*10^3,0)</f>
        <v>12011.802192199848</v>
      </c>
      <c r="X36" s="58">
        <v>10000</v>
      </c>
      <c r="Y36" s="254"/>
    </row>
    <row r="37" spans="1:26" outlineLevel="1" x14ac:dyDescent="0.35">
      <c r="A37" s="55">
        <f>ROWS($A$36:A37)</f>
        <v>2</v>
      </c>
      <c r="B37" s="11" t="s">
        <v>65</v>
      </c>
      <c r="C37" s="14" t="s">
        <v>141</v>
      </c>
      <c r="D37" s="175" t="s">
        <v>142</v>
      </c>
      <c r="E37" s="198" t="s">
        <v>41</v>
      </c>
      <c r="F37" s="190">
        <v>1</v>
      </c>
      <c r="G37" s="56" cm="1">
        <f t="array" ref="G37">SUMPRODUCT('2.1. Thưởng NCC - ver1'!$F$7:$Q$24*('2.1. Thưởng NCC - ver1'!$B$7:$B$24='2.2 Thưởng NCC - ver2'!$B37)*('2.1. Thưởng NCC - ver1'!$F$6:$Q$6='2.2 Thưởng NCC - ver2'!$F37)*('2.1. Thưởng NCC - ver1'!$D$7:$D$24='2.2 Thưởng NCC - ver2'!$D37))</f>
        <v>25</v>
      </c>
      <c r="H37" s="18" cm="1">
        <f t="array" ref="H37">SUMPRODUCT('2.1. Thưởng NCC - ver1'!$R$7:$AC$24*('2.1. Thưởng NCC - ver1'!$B$7:$B$24='2.2 Thưởng NCC - ver2'!$B37)*('2.1. Thưởng NCC - ver1'!$R$6:$AC$6='2.2 Thưởng NCC - ver2'!$F37)*('2.1. Thưởng NCC - ver1'!$D$7:$D$24='2.2 Thưởng NCC - ver2'!$D37))</f>
        <v>27.077000000000002</v>
      </c>
      <c r="I37" s="18" cm="1">
        <f t="array" ref="I37">SUMPRODUCT('2.1. Thưởng NCC - ver1'!$AD$7:$AO$24*('2.1. Thưởng NCC - ver1'!$B$7:$B$24='2.2 Thưởng NCC - ver2'!$B37)*('2.1. Thưởng NCC - ver1'!$AD$6:$AO$6='2.2 Thưởng NCC - ver2'!$F37)*('2.1. Thưởng NCC - ver1'!$D$7:$D$24='2.2 Thưởng NCC - ver2'!$D37))</f>
        <v>0</v>
      </c>
      <c r="J37" s="232">
        <f t="shared" si="16"/>
        <v>1.08308</v>
      </c>
      <c r="K37" s="18">
        <v>9700</v>
      </c>
      <c r="L37" s="58">
        <f>K37*H37/10^3</f>
        <v>262.64690000000002</v>
      </c>
      <c r="M37" s="254"/>
      <c r="N37" s="56">
        <f t="shared" si="6"/>
        <v>150</v>
      </c>
      <c r="O37" s="58">
        <f>IF(E37&lt;&gt;"",_xlfn.XLOOKUP($E37,'1. CS Hỗ trợ vận chuyển'!$D$8:$D$42,'1. CS Hỗ trợ vận chuyển'!$H$8:$H$42),0)</f>
        <v>400</v>
      </c>
      <c r="P37" s="254"/>
      <c r="Q37" s="56">
        <f>N37*H37/10^3</f>
        <v>4.0615500000000004</v>
      </c>
      <c r="R37" s="18">
        <f>I37*O37/10^3</f>
        <v>0</v>
      </c>
      <c r="S37" s="18">
        <f>10000000/10^6</f>
        <v>10</v>
      </c>
      <c r="T37" s="18">
        <f>5000000/10^6</f>
        <v>5</v>
      </c>
      <c r="U37" s="58">
        <f>SUM(Q37,R37,S37,T37)</f>
        <v>19.06155</v>
      </c>
      <c r="V37" s="254"/>
      <c r="W37" s="56">
        <f>IFERROR((SUM(Q37,R37,S37,T37)+(H37*K37/10^3))/H37*10^3,0)</f>
        <v>10403.975698932674</v>
      </c>
      <c r="X37" s="58">
        <v>10000</v>
      </c>
      <c r="Y37" s="254"/>
    </row>
    <row r="38" spans="1:26" outlineLevel="1" x14ac:dyDescent="0.35">
      <c r="A38" s="55">
        <f>ROWS($A$36:A38)</f>
        <v>3</v>
      </c>
      <c r="B38" s="11" t="s">
        <v>65</v>
      </c>
      <c r="C38" s="14" t="s">
        <v>139</v>
      </c>
      <c r="D38" s="175" t="s">
        <v>140</v>
      </c>
      <c r="E38" s="198" t="s">
        <v>59</v>
      </c>
      <c r="F38" s="190">
        <v>2</v>
      </c>
      <c r="G38" s="56" cm="1">
        <f t="array" ref="G38">SUMPRODUCT('2.1. Thưởng NCC - ver1'!$F$7:$Q$24*('2.1. Thưởng NCC - ver1'!$B$7:$B$24='2.2 Thưởng NCC - ver2'!$B38)*('2.1. Thưởng NCC - ver1'!$F$6:$Q$6='2.2 Thưởng NCC - ver2'!$F38)*('2.1. Thưởng NCC - ver1'!$D$7:$D$24='2.2 Thưởng NCC - ver2'!$D38))</f>
        <v>20</v>
      </c>
      <c r="H38" s="18" cm="1">
        <f t="array" ref="H38">SUMPRODUCT('2.1. Thưởng NCC - ver1'!$R$7:$AC$24*('2.1. Thưởng NCC - ver1'!$B$7:$B$24='2.2 Thưởng NCC - ver2'!$B38)*('2.1. Thưởng NCC - ver1'!$R$6:$AC$6='2.2 Thưởng NCC - ver2'!$F38)*('2.1. Thưởng NCC - ver1'!$D$7:$D$24='2.2 Thưởng NCC - ver2'!$D38))</f>
        <v>20.579000000000001</v>
      </c>
      <c r="I38" s="18" cm="1">
        <f t="array" ref="I38">SUMPRODUCT('2.1. Thưởng NCC - ver1'!$AD$7:$AO$24*('2.1. Thưởng NCC - ver1'!$B$7:$B$24='2.2 Thưởng NCC - ver2'!$B38)*('2.1. Thưởng NCC - ver1'!$AD$6:$AO$6='2.2 Thưởng NCC - ver2'!$F38)*('2.1. Thưởng NCC - ver1'!$D$7:$D$24='2.2 Thưởng NCC - ver2'!$D38))</f>
        <v>20.579000000000001</v>
      </c>
      <c r="J38" s="232">
        <f t="shared" si="16"/>
        <v>1.02895</v>
      </c>
      <c r="K38" s="18">
        <v>9472.6688867745015</v>
      </c>
      <c r="L38" s="58">
        <f>K38*H38/10^3</f>
        <v>194.93805302093247</v>
      </c>
      <c r="M38" s="254"/>
      <c r="N38" s="56">
        <f t="shared" si="6"/>
        <v>150</v>
      </c>
      <c r="O38" s="58">
        <f>IF(E38&lt;&gt;"",_xlfn.XLOOKUP($E38,'1. CS Hỗ trợ vận chuyển'!$D$8:$D$42,'1. CS Hỗ trợ vận chuyển'!$H$8:$H$42),0)</f>
        <v>400</v>
      </c>
      <c r="P38" s="254"/>
      <c r="Q38" s="56">
        <f>N38*H38/10^3</f>
        <v>3.0868500000000001</v>
      </c>
      <c r="R38" s="18">
        <f>I38*O38/10^3</f>
        <v>8.2316000000000003</v>
      </c>
      <c r="S38" s="18">
        <f>10000000/10^6</f>
        <v>10</v>
      </c>
      <c r="T38" s="18">
        <f>5000000/10^6</f>
        <v>5</v>
      </c>
      <c r="U38" s="58">
        <f>SUM(Q38,R38,S38,T38)</f>
        <v>26.318449999999999</v>
      </c>
      <c r="V38" s="254"/>
      <c r="W38" s="56">
        <f>IFERROR((SUM(Q38,R38,S38,T38)+(H38*K38/10^3))/H38*10^3,0)</f>
        <v>10751.567278338718</v>
      </c>
      <c r="X38" s="58">
        <v>10000</v>
      </c>
      <c r="Y38" s="254"/>
      <c r="Z38" s="254"/>
    </row>
    <row r="39" spans="1:26" outlineLevel="1" x14ac:dyDescent="0.35">
      <c r="A39" s="55">
        <f>ROWS($A$36:A39)</f>
        <v>4</v>
      </c>
      <c r="B39" s="11" t="s">
        <v>65</v>
      </c>
      <c r="C39" s="14" t="s">
        <v>141</v>
      </c>
      <c r="D39" s="175" t="s">
        <v>142</v>
      </c>
      <c r="E39" s="198" t="s">
        <v>41</v>
      </c>
      <c r="F39" s="190">
        <v>2</v>
      </c>
      <c r="G39" s="56" cm="1">
        <f t="array" ref="G39">SUMPRODUCT('2.1. Thưởng NCC - ver1'!$F$7:$Q$24*('2.1. Thưởng NCC - ver1'!$B$7:$B$24='2.2 Thưởng NCC - ver2'!$B39)*('2.1. Thưởng NCC - ver1'!$F$6:$Q$6='2.2 Thưởng NCC - ver2'!$F39)*('2.1. Thưởng NCC - ver1'!$D$7:$D$24='2.2 Thưởng NCC - ver2'!$D39))</f>
        <v>20</v>
      </c>
      <c r="H39" s="18" cm="1">
        <f t="array" ref="H39">SUMPRODUCT('2.1. Thưởng NCC - ver1'!$R$7:$AC$24*('2.1. Thưởng NCC - ver1'!$B$7:$B$24='2.2 Thưởng NCC - ver2'!$B39)*('2.1. Thưởng NCC - ver1'!$R$6:$AC$6='2.2 Thưởng NCC - ver2'!$F39)*('2.1. Thưởng NCC - ver1'!$D$7:$D$24='2.2 Thưởng NCC - ver2'!$D39))</f>
        <v>20.286999999999999</v>
      </c>
      <c r="I39" s="18" cm="1">
        <f t="array" ref="I39">SUMPRODUCT('2.1. Thưởng NCC - ver1'!$AD$7:$AO$24*('2.1. Thưởng NCC - ver1'!$B$7:$B$24='2.2 Thưởng NCC - ver2'!$B39)*('2.1. Thưởng NCC - ver1'!$AD$6:$AO$6='2.2 Thưởng NCC - ver2'!$F39)*('2.1. Thưởng NCC - ver1'!$D$7:$D$24='2.2 Thưởng NCC - ver2'!$D39))</f>
        <v>6.11</v>
      </c>
      <c r="J39" s="70">
        <f t="shared" si="16"/>
        <v>1.0143499999999999</v>
      </c>
      <c r="K39" s="18">
        <v>9628.8478581979325</v>
      </c>
      <c r="L39" s="58">
        <f>K39*H39/10^3</f>
        <v>195.34043649926144</v>
      </c>
      <c r="M39" s="254"/>
      <c r="N39" s="56">
        <f t="shared" si="6"/>
        <v>150</v>
      </c>
      <c r="O39" s="58">
        <f>IF(E39&lt;&gt;"",_xlfn.XLOOKUP($E39,'1. CS Hỗ trợ vận chuyển'!$D$8:$D$42,'1. CS Hỗ trợ vận chuyển'!$H$8:$H$42),0)</f>
        <v>400</v>
      </c>
      <c r="P39" s="254"/>
      <c r="Q39" s="56">
        <f>N39*H39/10^3</f>
        <v>3.0430499999999996</v>
      </c>
      <c r="R39" s="18">
        <f>I39*O39/10^3</f>
        <v>2.444</v>
      </c>
      <c r="S39" s="18">
        <f>10000000/10^6</f>
        <v>10</v>
      </c>
      <c r="T39" s="18">
        <f>5000000/10^6</f>
        <v>5</v>
      </c>
      <c r="U39" s="58">
        <f>SUM(Q39,R39,S39,T39)</f>
        <v>20.48705</v>
      </c>
      <c r="V39" s="254"/>
      <c r="W39" s="56">
        <f>IFERROR((SUM(Q39,R39,S39,T39)+(H39*K39/10^3))/H39*10^3,0)</f>
        <v>10638.708852923619</v>
      </c>
      <c r="X39" s="58">
        <v>10000</v>
      </c>
      <c r="Y39" s="254"/>
    </row>
    <row r="40" spans="1:26" outlineLevel="1" x14ac:dyDescent="0.35">
      <c r="A40" s="55">
        <f>ROWS($A$36:A40)</f>
        <v>5</v>
      </c>
      <c r="B40" s="11" t="s">
        <v>65</v>
      </c>
      <c r="C40" s="14" t="s">
        <v>139</v>
      </c>
      <c r="D40" s="175" t="s">
        <v>140</v>
      </c>
      <c r="E40" s="198" t="s">
        <v>59</v>
      </c>
      <c r="F40" s="190">
        <v>3</v>
      </c>
      <c r="G40" s="56" cm="1">
        <f t="array" ref="G40">SUMPRODUCT('2.1. Thưởng NCC - ver1'!$F$7:$Q$24*('2.1. Thưởng NCC - ver1'!$B$7:$B$24='2.2 Thưởng NCC - ver2'!$B40)*('2.1. Thưởng NCC - ver1'!$F$6:$Q$6='2.2 Thưởng NCC - ver2'!$F40)*('2.1. Thưởng NCC - ver1'!$D$7:$D$24='2.2 Thưởng NCC - ver2'!$D40))</f>
        <v>30</v>
      </c>
      <c r="H40" s="18" cm="1">
        <f t="array" ref="H40">SUMPRODUCT('2.1. Thưởng NCC - ver1'!$R$7:$AC$24*('2.1. Thưởng NCC - ver1'!$B$7:$B$24='2.2 Thưởng NCC - ver2'!$B40)*('2.1. Thưởng NCC - ver1'!$R$6:$AC$6='2.2 Thưởng NCC - ver2'!$F40)*('2.1. Thưởng NCC - ver1'!$D$7:$D$24='2.2 Thưởng NCC - ver2'!$D40))</f>
        <v>8.8109999999999999</v>
      </c>
      <c r="I40" s="345" cm="1">
        <f t="array" ref="I40">SUMPRODUCT('2.1. Thưởng NCC - ver1'!$AD$7:$AO$24*('2.1. Thưởng NCC - ver1'!$B$7:$B$24='2.2 Thưởng NCC - ver2'!$B40)*('2.1. Thưởng NCC - ver1'!$AD$6:$AO$6='2.2 Thưởng NCC - ver2'!$F40)*('2.1. Thưởng NCC - ver1'!$D$7:$D$24='2.2 Thưởng NCC - ver2'!$D40))</f>
        <v>8.8109999999999999</v>
      </c>
      <c r="J40" s="70">
        <f t="shared" si="16"/>
        <v>0.29370000000000002</v>
      </c>
      <c r="K40" s="18"/>
      <c r="L40" s="58">
        <f>K40*H40/10^3</f>
        <v>0</v>
      </c>
      <c r="M40" s="254"/>
      <c r="N40" s="56">
        <f>IF(J40&lt;95%,0,150)</f>
        <v>0</v>
      </c>
      <c r="O40" s="58">
        <f>IF(E40&lt;&gt;"",_xlfn.XLOOKUP($E40,'1. CS Hỗ trợ vận chuyển'!$D$8:$D$42,'1. CS Hỗ trợ vận chuyển'!$H$8:$H$42),0)</f>
        <v>400</v>
      </c>
      <c r="P40" s="254"/>
      <c r="Q40" s="56">
        <f>N40*H40/10^3</f>
        <v>0</v>
      </c>
      <c r="R40" s="18">
        <f>I40*O40/10^3</f>
        <v>3.5244</v>
      </c>
      <c r="S40" s="18">
        <f t="shared" ref="S40:S41" si="17">10000000/10^6</f>
        <v>10</v>
      </c>
      <c r="T40" s="18">
        <f t="shared" ref="T40:T41" si="18">5000000/10^6</f>
        <v>5</v>
      </c>
      <c r="U40" s="58">
        <f>SUM(Q40,R40,S40,T40)</f>
        <v>18.5244</v>
      </c>
      <c r="V40" s="254"/>
      <c r="W40" s="56">
        <f>IFERROR((SUM(Q40,R40,S40,T40)+(H40*K40/10^3))/H40*10^3,0)</f>
        <v>2102.4174327545115</v>
      </c>
      <c r="X40" s="58">
        <v>10000</v>
      </c>
      <c r="Y40" s="254"/>
    </row>
    <row r="41" spans="1:26" outlineLevel="1" x14ac:dyDescent="0.35">
      <c r="A41" s="55">
        <f>ROWS($A$36:A41)</f>
        <v>6</v>
      </c>
      <c r="B41" s="11" t="s">
        <v>65</v>
      </c>
      <c r="C41" s="14" t="s">
        <v>141</v>
      </c>
      <c r="D41" s="175" t="s">
        <v>142</v>
      </c>
      <c r="E41" s="198" t="s">
        <v>41</v>
      </c>
      <c r="F41" s="190">
        <v>3</v>
      </c>
      <c r="G41" s="56" cm="1">
        <f t="array" ref="G41">SUMPRODUCT('2.1. Thưởng NCC - ver1'!$F$7:$Q$24*('2.1. Thưởng NCC - ver1'!$B$7:$B$24='2.2 Thưởng NCC - ver2'!$B41)*('2.1. Thưởng NCC - ver1'!$F$6:$Q$6='2.2 Thưởng NCC - ver2'!$F41)*('2.1. Thưởng NCC - ver1'!$D$7:$D$24='2.2 Thưởng NCC - ver2'!$D41))</f>
        <v>40</v>
      </c>
      <c r="H41" s="18" cm="1">
        <f t="array" ref="H41">SUMPRODUCT('2.1. Thưởng NCC - ver1'!$R$7:$AC$24*('2.1. Thưởng NCC - ver1'!$B$7:$B$24='2.2 Thưởng NCC - ver2'!$B41)*('2.1. Thưởng NCC - ver1'!$R$6:$AC$6='2.2 Thưởng NCC - ver2'!$F41)*('2.1. Thưởng NCC - ver1'!$D$7:$D$24='2.2 Thưởng NCC - ver2'!$D41))</f>
        <v>44.265000000000001</v>
      </c>
      <c r="I41" s="345" cm="1">
        <f t="array" ref="I41">SUMPRODUCT('2.1. Thưởng NCC - ver1'!$AD$7:$AO$24*('2.1. Thưởng NCC - ver1'!$B$7:$B$24='2.2 Thưởng NCC - ver2'!$B41)*('2.1. Thưởng NCC - ver1'!$AD$6:$AO$6='2.2 Thưởng NCC - ver2'!$F41)*('2.1. Thưởng NCC - ver1'!$D$7:$D$24='2.2 Thưởng NCC - ver2'!$D41))</f>
        <v>0</v>
      </c>
      <c r="J41" s="70">
        <f t="shared" si="16"/>
        <v>1.106625</v>
      </c>
      <c r="K41" s="18"/>
      <c r="L41" s="58"/>
      <c r="M41" s="254"/>
      <c r="N41" s="56">
        <f>IF(J41&lt;95%,0,150)</f>
        <v>150</v>
      </c>
      <c r="O41" s="58">
        <f>IF(E41&lt;&gt;"",_xlfn.XLOOKUP($E41,'1. CS Hỗ trợ vận chuyển'!$D$8:$D$42,'1. CS Hỗ trợ vận chuyển'!$H$8:$H$42),0)</f>
        <v>400</v>
      </c>
      <c r="P41" s="254"/>
      <c r="Q41" s="56">
        <f>N41*H41/10^3</f>
        <v>6.6397500000000003</v>
      </c>
      <c r="R41" s="18">
        <f>I41*O41/10^3</f>
        <v>0</v>
      </c>
      <c r="S41" s="18">
        <f t="shared" si="17"/>
        <v>10</v>
      </c>
      <c r="T41" s="18">
        <f t="shared" si="18"/>
        <v>5</v>
      </c>
      <c r="U41" s="58">
        <f t="shared" ref="U41:U43" si="19">SUM(Q41,R41,S41,T41)</f>
        <v>21.639749999999999</v>
      </c>
      <c r="V41" s="254"/>
      <c r="W41" s="56"/>
      <c r="X41" s="58"/>
      <c r="Y41" s="254"/>
    </row>
    <row r="42" spans="1:26" outlineLevel="1" x14ac:dyDescent="0.35">
      <c r="A42" s="55">
        <f>ROWS($A$36:A42)</f>
        <v>7</v>
      </c>
      <c r="B42" s="11"/>
      <c r="C42" s="14"/>
      <c r="D42" s="175"/>
      <c r="E42" s="198"/>
      <c r="F42" s="190"/>
      <c r="G42" s="56" cm="1">
        <f t="array" ref="G42">SUMPRODUCT('2.1. Thưởng NCC - ver1'!$F$7:$Q$24*('2.1. Thưởng NCC - ver1'!$B$7:$B$24='2.2 Thưởng NCC - ver2'!$B42)*('2.1. Thưởng NCC - ver1'!$F$6:$Q$6='2.2 Thưởng NCC - ver2'!$F42)*('2.1. Thưởng NCC - ver1'!$D$7:$D$24='2.2 Thưởng NCC - ver2'!$D42))</f>
        <v>0</v>
      </c>
      <c r="H42" s="18" cm="1">
        <f t="array" ref="H42">SUMPRODUCT('2.1. Thưởng NCC - ver1'!$R$7:$AC$24*('2.1. Thưởng NCC - ver1'!$B$7:$B$24='2.2 Thưởng NCC - ver2'!$B42)*('2.1. Thưởng NCC - ver1'!$R$6:$AC$6='2.2 Thưởng NCC - ver2'!$F42)*('2.1. Thưởng NCC - ver1'!$D$7:$D$24='2.2 Thưởng NCC - ver2'!$D42))</f>
        <v>0</v>
      </c>
      <c r="I42" s="345" cm="1">
        <f t="array" ref="I42">SUMPRODUCT('2.1. Thưởng NCC - ver1'!$AD$7:$AO$24*('2.1. Thưởng NCC - ver1'!$B$7:$B$24='2.2 Thưởng NCC - ver2'!$B42)*('2.1. Thưởng NCC - ver1'!$AD$6:$AO$6='2.2 Thưởng NCC - ver2'!$F42)*('2.1. Thưởng NCC - ver1'!$D$7:$D$24='2.2 Thưởng NCC - ver2'!$D42))</f>
        <v>0</v>
      </c>
      <c r="J42" s="70">
        <f t="shared" si="16"/>
        <v>0</v>
      </c>
      <c r="K42" s="18"/>
      <c r="L42" s="58"/>
      <c r="M42" s="254"/>
      <c r="N42" s="56">
        <f>IF(J42&lt;95%,0,150)</f>
        <v>0</v>
      </c>
      <c r="O42" s="58">
        <f>IF(E42&lt;&gt;"",_xlfn.XLOOKUP($E42,'1. CS Hỗ trợ vận chuyển'!$D$8:$D$42,'1. CS Hỗ trợ vận chuyển'!$H$8:$H$42),0)</f>
        <v>0</v>
      </c>
      <c r="P42" s="254"/>
      <c r="Q42" s="56">
        <f>N42*H42/10^3</f>
        <v>0</v>
      </c>
      <c r="R42" s="18">
        <f>I42*O42/10^3</f>
        <v>0</v>
      </c>
      <c r="S42" s="50">
        <v>0</v>
      </c>
      <c r="T42" s="50">
        <v>0</v>
      </c>
      <c r="U42" s="58">
        <f t="shared" si="19"/>
        <v>0</v>
      </c>
      <c r="V42" s="254"/>
      <c r="W42" s="56"/>
      <c r="X42" s="58"/>
      <c r="Y42" s="254"/>
    </row>
    <row r="43" spans="1:26" outlineLevel="1" x14ac:dyDescent="0.35">
      <c r="A43" s="55">
        <f>ROWS($A$36:A43)</f>
        <v>8</v>
      </c>
      <c r="B43" s="11"/>
      <c r="C43" s="14"/>
      <c r="D43" s="175"/>
      <c r="E43" s="198"/>
      <c r="F43" s="190"/>
      <c r="G43" s="56" cm="1">
        <f t="array" ref="G43">SUMPRODUCT('2.1. Thưởng NCC - ver1'!$F$7:$Q$24*('2.1. Thưởng NCC - ver1'!$B$7:$B$24='2.2 Thưởng NCC - ver2'!$B43)*('2.1. Thưởng NCC - ver1'!$F$6:$Q$6='2.2 Thưởng NCC - ver2'!$F43)*('2.1. Thưởng NCC - ver1'!$D$7:$D$24='2.2 Thưởng NCC - ver2'!$D43))</f>
        <v>0</v>
      </c>
      <c r="H43" s="18" cm="1">
        <f t="array" ref="H43">SUMPRODUCT('2.1. Thưởng NCC - ver1'!$R$7:$AC$24*('2.1. Thưởng NCC - ver1'!$B$7:$B$24='2.2 Thưởng NCC - ver2'!$B43)*('2.1. Thưởng NCC - ver1'!$R$6:$AC$6='2.2 Thưởng NCC - ver2'!$F43)*('2.1. Thưởng NCC - ver1'!$D$7:$D$24='2.2 Thưởng NCC - ver2'!$D43))</f>
        <v>0</v>
      </c>
      <c r="I43" s="345" cm="1">
        <f t="array" ref="I43">SUMPRODUCT('2.1. Thưởng NCC - ver1'!$AD$7:$AO$24*('2.1. Thưởng NCC - ver1'!$B$7:$B$24='2.2 Thưởng NCC - ver2'!$B43)*('2.1. Thưởng NCC - ver1'!$AD$6:$AO$6='2.2 Thưởng NCC - ver2'!$F43)*('2.1. Thưởng NCC - ver1'!$D$7:$D$24='2.2 Thưởng NCC - ver2'!$D43))</f>
        <v>0</v>
      </c>
      <c r="J43" s="70">
        <f t="shared" si="16"/>
        <v>0</v>
      </c>
      <c r="K43" s="18"/>
      <c r="L43" s="58"/>
      <c r="M43" s="254"/>
      <c r="N43" s="56">
        <f>IF(J43&lt;95%,0,150)</f>
        <v>0</v>
      </c>
      <c r="O43" s="58">
        <f>IF(E43&lt;&gt;"",_xlfn.XLOOKUP($E43,'1. CS Hỗ trợ vận chuyển'!$D$8:$D$42,'1. CS Hỗ trợ vận chuyển'!$H$8:$H$42),0)</f>
        <v>0</v>
      </c>
      <c r="P43" s="254"/>
      <c r="Q43" s="56">
        <f>N43*H43/10^3</f>
        <v>0</v>
      </c>
      <c r="R43" s="18">
        <f>I43*O43/10^3</f>
        <v>0</v>
      </c>
      <c r="S43" s="50">
        <v>0</v>
      </c>
      <c r="T43" s="50">
        <v>0</v>
      </c>
      <c r="U43" s="58">
        <f t="shared" si="19"/>
        <v>0</v>
      </c>
      <c r="V43" s="254"/>
      <c r="W43" s="56"/>
      <c r="X43" s="58"/>
      <c r="Y43" s="254"/>
    </row>
    <row r="44" spans="1:26" x14ac:dyDescent="0.35">
      <c r="A44" s="206"/>
      <c r="B44" s="207" t="s">
        <v>1249</v>
      </c>
      <c r="C44" s="207"/>
      <c r="D44" s="244"/>
      <c r="E44" s="207"/>
      <c r="F44" s="208"/>
      <c r="G44" s="209">
        <f t="shared" ref="G44:I44" si="20">SUM(G36:G43)</f>
        <v>155</v>
      </c>
      <c r="H44" s="210">
        <f t="shared" si="20"/>
        <v>128.86500000000001</v>
      </c>
      <c r="I44" s="210">
        <f t="shared" si="20"/>
        <v>43.346000000000004</v>
      </c>
      <c r="J44" s="242"/>
      <c r="K44" s="241"/>
      <c r="L44" s="243"/>
      <c r="M44" s="254"/>
      <c r="N44" s="240"/>
      <c r="O44" s="239"/>
      <c r="P44" s="254"/>
      <c r="Q44" s="349">
        <f t="shared" ref="Q44:T44" si="21">SUM(Q36:Q43)</f>
        <v>16.831199999999999</v>
      </c>
      <c r="R44" s="210">
        <f t="shared" si="21"/>
        <v>17.3384</v>
      </c>
      <c r="S44" s="210">
        <f t="shared" si="21"/>
        <v>60</v>
      </c>
      <c r="T44" s="210">
        <f t="shared" si="21"/>
        <v>30</v>
      </c>
      <c r="U44" s="212">
        <f>SUM(U36:U43)</f>
        <v>124.1696</v>
      </c>
      <c r="V44" s="254"/>
      <c r="W44" s="240"/>
      <c r="X44" s="243"/>
      <c r="Y44" s="254"/>
      <c r="Z44" s="254"/>
    </row>
    <row r="45" spans="1:26" ht="14.5" customHeight="1" outlineLevel="1" x14ac:dyDescent="0.35">
      <c r="A45" s="60">
        <f>ROWS($A$45:A45)</f>
        <v>1</v>
      </c>
      <c r="B45" s="194" t="s">
        <v>64</v>
      </c>
      <c r="C45" s="61" t="s">
        <v>143</v>
      </c>
      <c r="D45" s="202" t="s">
        <v>144</v>
      </c>
      <c r="E45" s="199" t="s">
        <v>36</v>
      </c>
      <c r="F45" s="191">
        <v>1</v>
      </c>
      <c r="G45" s="62" cm="1">
        <f t="array" ref="G45">SUMPRODUCT('2.1. Thưởng NCC - ver1'!$F$7:$Q$24*('2.1. Thưởng NCC - ver1'!$B$7:$B$24='2.2 Thưởng NCC - ver2'!$B45)*('2.1. Thưởng NCC - ver1'!$F$6:$Q$6='2.2 Thưởng NCC - ver2'!$F45)*('2.1. Thưởng NCC - ver1'!$D$7:$D$24='2.2 Thưởng NCC - ver2'!$D45))</f>
        <v>100</v>
      </c>
      <c r="H45" s="63" cm="1">
        <f t="array" ref="H45">SUMPRODUCT('2.1. Thưởng NCC - ver1'!$R$7:$AC$24*('2.1. Thưởng NCC - ver1'!$B$7:$B$24='2.2 Thưởng NCC - ver2'!$B45)*('2.1. Thưởng NCC - ver1'!$R$6:$AC$6='2.2 Thưởng NCC - ver2'!$F45)*('2.1. Thưởng NCC - ver1'!$D$7:$D$24='2.2 Thưởng NCC - ver2'!$D45))</f>
        <v>103.22500000000001</v>
      </c>
      <c r="I45" s="63" cm="1">
        <f t="array" ref="I45">SUMPRODUCT('2.1. Thưởng NCC - ver1'!$AD$7:$AO$24*('2.1. Thưởng NCC - ver1'!$B$7:$B$24='2.2 Thưởng NCC - ver2'!$B45)*('2.1. Thưởng NCC - ver1'!$AD$6:$AO$6='2.2 Thưởng NCC - ver2'!$F45)*('2.1. Thưởng NCC - ver1'!$D$7:$D$24='2.2 Thưởng NCC - ver2'!$D45))</f>
        <v>103.22500000000001</v>
      </c>
      <c r="J45" s="71">
        <f t="shared" ref="J45:J53" si="22">IFERROR(H45/G45,0)</f>
        <v>1.0322500000000001</v>
      </c>
      <c r="K45" s="63">
        <v>9700</v>
      </c>
      <c r="L45" s="66">
        <f>K45*H45/10^3</f>
        <v>1001.2825000000001</v>
      </c>
      <c r="M45" s="254"/>
      <c r="N45" s="62">
        <f t="shared" ref="N45:N53" si="23">IF(J45&lt;95%,0,150)</f>
        <v>150</v>
      </c>
      <c r="O45" s="66">
        <f>IF(E45&lt;&gt;"",_xlfn.XLOOKUP($E45,'1. CS Hỗ trợ vận chuyển'!$D$8:$D$42,'1. CS Hỗ trợ vận chuyển'!$H$8:$H$42),0)</f>
        <v>300</v>
      </c>
      <c r="P45" s="254"/>
      <c r="Q45" s="62">
        <f>N45*H45/10^3</f>
        <v>15.483750000000002</v>
      </c>
      <c r="R45" s="63">
        <f>I45*O45/10^3</f>
        <v>30.967500000000005</v>
      </c>
      <c r="S45" s="50">
        <v>0</v>
      </c>
      <c r="T45" s="50">
        <v>0</v>
      </c>
      <c r="U45" s="66">
        <f>SUM(Q45,R45,S45,T45)</f>
        <v>46.451250000000009</v>
      </c>
      <c r="V45" s="254"/>
      <c r="W45" s="62">
        <f>IFERROR((SUM(Q45,R45,S45,T45)+(H45*K45/10^3))/H45*10^3,0)</f>
        <v>10150</v>
      </c>
      <c r="X45" s="66">
        <v>10000</v>
      </c>
      <c r="Y45" s="254"/>
    </row>
    <row r="46" spans="1:26" ht="14.5" customHeight="1" outlineLevel="1" x14ac:dyDescent="0.35">
      <c r="A46" s="60">
        <f>ROWS($A$45:A46)</f>
        <v>2</v>
      </c>
      <c r="B46" s="194" t="s">
        <v>64</v>
      </c>
      <c r="C46" s="61" t="s">
        <v>143</v>
      </c>
      <c r="D46" s="202" t="s">
        <v>1287</v>
      </c>
      <c r="E46" s="199" t="s">
        <v>36</v>
      </c>
      <c r="F46" s="190">
        <v>1</v>
      </c>
      <c r="G46" s="67" cm="1">
        <f t="array" ref="G46">SUMPRODUCT('2.1. Thưởng NCC - ver1'!$F$7:$Q$24*('2.1. Thưởng NCC - ver1'!$B$7:$B$24='2.2 Thưởng NCC - ver2'!$B46)*('2.1. Thưởng NCC - ver1'!$F$6:$Q$6='2.2 Thưởng NCC - ver2'!$F46)*('2.1. Thưởng NCC - ver1'!$D$7:$D$24='2.2 Thưởng NCC - ver2'!$D46))</f>
        <v>0</v>
      </c>
      <c r="H46" s="63" cm="1">
        <f t="array" ref="H46">SUMPRODUCT('2.1. Thưởng NCC - ver1'!$R$7:$AC$24*('2.1. Thưởng NCC - ver1'!$B$7:$B$24='2.2 Thưởng NCC - ver2'!$B46)*('2.1. Thưởng NCC - ver1'!$R$6:$AC$6='2.2 Thưởng NCC - ver2'!$F46)*('2.1. Thưởng NCC - ver1'!$D$7:$D$24='2.2 Thưởng NCC - ver2'!$D46))</f>
        <v>0</v>
      </c>
      <c r="I46" s="63" cm="1">
        <f t="array" ref="I46">SUMPRODUCT('2.1. Thưởng NCC - ver1'!$AD$7:$AO$24*('2.1. Thưởng NCC - ver1'!$B$7:$B$24='2.2 Thưởng NCC - ver2'!$B46)*('2.1. Thưởng NCC - ver1'!$AD$6:$AO$6='2.2 Thưởng NCC - ver2'!$F46)*('2.1. Thưởng NCC - ver1'!$D$7:$D$24='2.2 Thưởng NCC - ver2'!$D46))</f>
        <v>0</v>
      </c>
      <c r="J46" s="71">
        <f t="shared" si="22"/>
        <v>0</v>
      </c>
      <c r="K46" s="63">
        <v>9615.742624618515</v>
      </c>
      <c r="L46" s="66">
        <f>K46*H46/10^3</f>
        <v>0</v>
      </c>
      <c r="M46" s="254"/>
      <c r="N46" s="62">
        <f t="shared" si="23"/>
        <v>0</v>
      </c>
      <c r="O46" s="66">
        <f>IF(E46&lt;&gt;"",_xlfn.XLOOKUP($E46,'1. CS Hỗ trợ vận chuyển'!$D$8:$D$42,'1. CS Hỗ trợ vận chuyển'!$H$8:$H$42),0)</f>
        <v>300</v>
      </c>
      <c r="P46" s="254"/>
      <c r="Q46" s="62">
        <f>N46*H46/10^3</f>
        <v>0</v>
      </c>
      <c r="R46" s="63">
        <f>I46*O46/10^3</f>
        <v>0</v>
      </c>
      <c r="S46" s="50">
        <v>0</v>
      </c>
      <c r="T46" s="50">
        <v>0</v>
      </c>
      <c r="U46" s="66">
        <f t="shared" ref="U46:U55" si="24">SUM(Q46,R46,S46,T46)</f>
        <v>0</v>
      </c>
      <c r="V46" s="254"/>
      <c r="W46" s="62">
        <f>IFERROR((SUM(Q46,R46,S46,T46)+(H46*K46/10^3))/H46*10^3,0)</f>
        <v>0</v>
      </c>
      <c r="X46" s="66">
        <v>10000</v>
      </c>
      <c r="Y46" s="254"/>
    </row>
    <row r="47" spans="1:26" ht="14.5" customHeight="1" outlineLevel="1" x14ac:dyDescent="0.35">
      <c r="A47" s="60">
        <f>ROWS($A$45:A47)</f>
        <v>3</v>
      </c>
      <c r="B47" s="194" t="s">
        <v>64</v>
      </c>
      <c r="C47" s="61" t="s">
        <v>125</v>
      </c>
      <c r="D47" s="202" t="s">
        <v>126</v>
      </c>
      <c r="E47" s="199" t="s">
        <v>63</v>
      </c>
      <c r="F47" s="190">
        <v>1</v>
      </c>
      <c r="G47" s="67" cm="1">
        <f t="array" ref="G47">SUMPRODUCT('2.1. Thưởng NCC - ver1'!$F$7:$Q$24*('2.1. Thưởng NCC - ver1'!$B$7:$B$24='2.2 Thưởng NCC - ver2'!$B47)*('2.1. Thưởng NCC - ver1'!$F$6:$Q$6='2.2 Thưởng NCC - ver2'!$F47)*('2.1. Thưởng NCC - ver1'!$D$7:$D$24='2.2 Thưởng NCC - ver2'!$D47))</f>
        <v>0</v>
      </c>
      <c r="H47" s="63" cm="1">
        <f t="array" ref="H47">SUMPRODUCT('2.1. Thưởng NCC - ver1'!$R$7:$AC$24*('2.1. Thưởng NCC - ver1'!$B$7:$B$24='2.2 Thưởng NCC - ver2'!$B47)*('2.1. Thưởng NCC - ver1'!$R$6:$AC$6='2.2 Thưởng NCC - ver2'!$F47)*('2.1. Thưởng NCC - ver1'!$D$7:$D$24='2.2 Thưởng NCC - ver2'!$D47))</f>
        <v>0</v>
      </c>
      <c r="I47" s="63" cm="1">
        <f t="array" ref="I47">SUMPRODUCT('2.1. Thưởng NCC - ver1'!$AD$7:$AO$24*('2.1. Thưởng NCC - ver1'!$B$7:$B$24='2.2 Thưởng NCC - ver2'!$B47)*('2.1. Thưởng NCC - ver1'!$AD$6:$AO$6='2.2 Thưởng NCC - ver2'!$F47)*('2.1. Thưởng NCC - ver1'!$D$7:$D$24='2.2 Thưởng NCC - ver2'!$D47))</f>
        <v>0</v>
      </c>
      <c r="J47" s="71">
        <f t="shared" si="22"/>
        <v>0</v>
      </c>
      <c r="K47" s="63"/>
      <c r="L47" s="66"/>
      <c r="M47" s="254"/>
      <c r="N47" s="62">
        <f t="shared" si="23"/>
        <v>0</v>
      </c>
      <c r="O47" s="66">
        <f>IF(E47&lt;&gt;"",_xlfn.XLOOKUP($E47,'1. CS Hỗ trợ vận chuyển'!$D$8:$D$42,'1. CS Hỗ trợ vận chuyển'!$H$8:$H$42),0)</f>
        <v>300</v>
      </c>
      <c r="P47" s="254"/>
      <c r="Q47" s="62">
        <f t="shared" ref="Q47:Q55" si="25">N47*H47/10^3</f>
        <v>0</v>
      </c>
      <c r="R47" s="63">
        <f t="shared" ref="R47:R55" si="26">I47*O47/10^3</f>
        <v>0</v>
      </c>
      <c r="S47" s="50">
        <v>0</v>
      </c>
      <c r="T47" s="50">
        <v>0</v>
      </c>
      <c r="U47" s="66">
        <f t="shared" si="24"/>
        <v>0</v>
      </c>
      <c r="V47" s="254"/>
      <c r="W47" s="62"/>
      <c r="X47" s="66"/>
      <c r="Y47" s="254"/>
    </row>
    <row r="48" spans="1:26" ht="14.5" customHeight="1" outlineLevel="1" x14ac:dyDescent="0.35">
      <c r="A48" s="60">
        <f>ROWS($A$45:A48)</f>
        <v>4</v>
      </c>
      <c r="B48" s="194" t="s">
        <v>64</v>
      </c>
      <c r="C48" s="61" t="s">
        <v>143</v>
      </c>
      <c r="D48" s="202" t="s">
        <v>144</v>
      </c>
      <c r="E48" s="199" t="s">
        <v>36</v>
      </c>
      <c r="F48" s="191">
        <v>2</v>
      </c>
      <c r="G48" s="67" cm="1">
        <f t="array" ref="G48">SUMPRODUCT('2.1. Thưởng NCC - ver1'!$F$7:$Q$24*('2.1. Thưởng NCC - ver1'!$B$7:$B$24='2.2 Thưởng NCC - ver2'!$B48)*('2.1. Thưởng NCC - ver1'!$F$6:$Q$6='2.2 Thưởng NCC - ver2'!$F48)*('2.1. Thưởng NCC - ver1'!$D$7:$D$24='2.2 Thưởng NCC - ver2'!$D48))</f>
        <v>0</v>
      </c>
      <c r="H48" s="63" cm="1">
        <f t="array" ref="H48">SUMPRODUCT('2.1. Thưởng NCC - ver1'!$R$7:$AC$24*('2.1. Thưởng NCC - ver1'!$B$7:$B$24='2.2 Thưởng NCC - ver2'!$B48)*('2.1. Thưởng NCC - ver1'!$R$6:$AC$6='2.2 Thưởng NCC - ver2'!$F48)*('2.1. Thưởng NCC - ver1'!$D$7:$D$24='2.2 Thưởng NCC - ver2'!$D48))</f>
        <v>0</v>
      </c>
      <c r="I48" s="63" cm="1">
        <f t="array" ref="I48">SUMPRODUCT('2.1. Thưởng NCC - ver1'!$AD$7:$AO$24*('2.1. Thưởng NCC - ver1'!$B$7:$B$24='2.2 Thưởng NCC - ver2'!$B48)*('2.1. Thưởng NCC - ver1'!$AD$6:$AO$6='2.2 Thưởng NCC - ver2'!$F48)*('2.1. Thưởng NCC - ver1'!$D$7:$D$24='2.2 Thưởng NCC - ver2'!$D48))</f>
        <v>0</v>
      </c>
      <c r="J48" s="71">
        <f t="shared" ref="J48:J50" si="27">IFERROR(H48/G48,0)</f>
        <v>0</v>
      </c>
      <c r="K48" s="63"/>
      <c r="L48" s="66"/>
      <c r="M48" s="254"/>
      <c r="N48" s="62">
        <f t="shared" ref="N48:N50" si="28">IF(J48&lt;95%,0,150)</f>
        <v>0</v>
      </c>
      <c r="O48" s="66">
        <f>IF(E48&lt;&gt;"",_xlfn.XLOOKUP($E48,'1. CS Hỗ trợ vận chuyển'!$D$8:$D$42,'1. CS Hỗ trợ vận chuyển'!$H$8:$H$42),0)</f>
        <v>300</v>
      </c>
      <c r="P48" s="254"/>
      <c r="Q48" s="62">
        <f t="shared" si="25"/>
        <v>0</v>
      </c>
      <c r="R48" s="63">
        <f t="shared" si="26"/>
        <v>0</v>
      </c>
      <c r="S48" s="50">
        <v>0</v>
      </c>
      <c r="T48" s="50">
        <v>0</v>
      </c>
      <c r="U48" s="66">
        <f t="shared" si="24"/>
        <v>0</v>
      </c>
      <c r="V48" s="254"/>
      <c r="W48" s="62"/>
      <c r="X48" s="66"/>
      <c r="Y48" s="254"/>
    </row>
    <row r="49" spans="1:25" ht="14.5" customHeight="1" outlineLevel="1" x14ac:dyDescent="0.35">
      <c r="A49" s="60">
        <f>ROWS($A$45:A49)</f>
        <v>5</v>
      </c>
      <c r="B49" s="194" t="s">
        <v>64</v>
      </c>
      <c r="C49" s="61" t="s">
        <v>143</v>
      </c>
      <c r="D49" s="202" t="s">
        <v>1287</v>
      </c>
      <c r="E49" s="199" t="s">
        <v>36</v>
      </c>
      <c r="F49" s="190">
        <v>2</v>
      </c>
      <c r="G49" s="67" cm="1">
        <f t="array" ref="G49">SUMPRODUCT('2.1. Thưởng NCC - ver1'!$F$7:$Q$24*('2.1. Thưởng NCC - ver1'!$B$7:$B$24='2.2 Thưởng NCC - ver2'!$B49)*('2.1. Thưởng NCC - ver1'!$F$6:$Q$6='2.2 Thưởng NCC - ver2'!$F49)*('2.1. Thưởng NCC - ver1'!$D$7:$D$24='2.2 Thưởng NCC - ver2'!$D49))</f>
        <v>50</v>
      </c>
      <c r="H49" s="63" cm="1">
        <f t="array" ref="H49">SUMPRODUCT('2.1. Thưởng NCC - ver1'!$R$7:$AC$24*('2.1. Thưởng NCC - ver1'!$B$7:$B$24='2.2 Thưởng NCC - ver2'!$B49)*('2.1. Thưởng NCC - ver1'!$R$6:$AC$6='2.2 Thưởng NCC - ver2'!$F49)*('2.1. Thưởng NCC - ver1'!$D$7:$D$24='2.2 Thưởng NCC - ver2'!$D49))</f>
        <v>78.64</v>
      </c>
      <c r="I49" s="63" cm="1">
        <f t="array" ref="I49">SUMPRODUCT('2.1. Thưởng NCC - ver1'!$AD$7:$AO$24*('2.1. Thưởng NCC - ver1'!$B$7:$B$24='2.2 Thưởng NCC - ver2'!$B49)*('2.1. Thưởng NCC - ver1'!$AD$6:$AO$6='2.2 Thưởng NCC - ver2'!$F49)*('2.1. Thưởng NCC - ver1'!$D$7:$D$24='2.2 Thưởng NCC - ver2'!$D49))</f>
        <v>78.64</v>
      </c>
      <c r="J49" s="71">
        <f t="shared" si="27"/>
        <v>1.5728</v>
      </c>
      <c r="K49" s="63"/>
      <c r="L49" s="66"/>
      <c r="M49" s="254"/>
      <c r="N49" s="62">
        <f t="shared" si="28"/>
        <v>150</v>
      </c>
      <c r="O49" s="66">
        <f>IF(E49&lt;&gt;"",_xlfn.XLOOKUP($E49,'1. CS Hỗ trợ vận chuyển'!$D$8:$D$42,'1. CS Hỗ trợ vận chuyển'!$H$8:$H$42),0)</f>
        <v>300</v>
      </c>
      <c r="P49" s="254"/>
      <c r="Q49" s="62">
        <f t="shared" si="25"/>
        <v>11.795999999999999</v>
      </c>
      <c r="R49" s="63">
        <f t="shared" si="26"/>
        <v>23.591999999999999</v>
      </c>
      <c r="S49" s="50">
        <v>0</v>
      </c>
      <c r="T49" s="50">
        <v>0</v>
      </c>
      <c r="U49" s="66">
        <f t="shared" si="24"/>
        <v>35.387999999999998</v>
      </c>
      <c r="V49" s="254"/>
      <c r="W49" s="62"/>
      <c r="X49" s="66"/>
      <c r="Y49" s="254"/>
    </row>
    <row r="50" spans="1:25" ht="14.5" customHeight="1" outlineLevel="1" x14ac:dyDescent="0.35">
      <c r="A50" s="60">
        <f>ROWS($A$45:A50)</f>
        <v>6</v>
      </c>
      <c r="B50" s="194" t="s">
        <v>64</v>
      </c>
      <c r="C50" s="61" t="s">
        <v>125</v>
      </c>
      <c r="D50" s="202" t="s">
        <v>126</v>
      </c>
      <c r="E50" s="199" t="s">
        <v>63</v>
      </c>
      <c r="F50" s="190">
        <v>2</v>
      </c>
      <c r="G50" s="67" cm="1">
        <f t="array" ref="G50">SUMPRODUCT('2.1. Thưởng NCC - ver1'!$F$7:$Q$24*('2.1. Thưởng NCC - ver1'!$B$7:$B$24='2.2 Thưởng NCC - ver2'!$B50)*('2.1. Thưởng NCC - ver1'!$F$6:$Q$6='2.2 Thưởng NCC - ver2'!$F50)*('2.1. Thưởng NCC - ver1'!$D$7:$D$24='2.2 Thưởng NCC - ver2'!$D50))</f>
        <v>0</v>
      </c>
      <c r="H50" s="63" cm="1">
        <f t="array" ref="H50">SUMPRODUCT('2.1. Thưởng NCC - ver1'!$R$7:$AC$24*('2.1. Thưởng NCC - ver1'!$B$7:$B$24='2.2 Thưởng NCC - ver2'!$B50)*('2.1. Thưởng NCC - ver1'!$R$6:$AC$6='2.2 Thưởng NCC - ver2'!$F50)*('2.1. Thưởng NCC - ver1'!$D$7:$D$24='2.2 Thưởng NCC - ver2'!$D50))</f>
        <v>0</v>
      </c>
      <c r="I50" s="63" cm="1">
        <f t="array" ref="I50">SUMPRODUCT('2.1. Thưởng NCC - ver1'!$AD$7:$AO$24*('2.1. Thưởng NCC - ver1'!$B$7:$B$24='2.2 Thưởng NCC - ver2'!$B50)*('2.1. Thưởng NCC - ver1'!$AD$6:$AO$6='2.2 Thưởng NCC - ver2'!$F50)*('2.1. Thưởng NCC - ver1'!$D$7:$D$24='2.2 Thưởng NCC - ver2'!$D50))</f>
        <v>0</v>
      </c>
      <c r="J50" s="71">
        <f t="shared" si="27"/>
        <v>0</v>
      </c>
      <c r="K50" s="63"/>
      <c r="L50" s="66"/>
      <c r="M50" s="254"/>
      <c r="N50" s="62">
        <f t="shared" si="28"/>
        <v>0</v>
      </c>
      <c r="O50" s="66">
        <f>IF(E50&lt;&gt;"",_xlfn.XLOOKUP($E50,'1. CS Hỗ trợ vận chuyển'!$D$8:$D$42,'1. CS Hỗ trợ vận chuyển'!$H$8:$H$42),0)</f>
        <v>300</v>
      </c>
      <c r="P50" s="254"/>
      <c r="Q50" s="62">
        <f t="shared" si="25"/>
        <v>0</v>
      </c>
      <c r="R50" s="63">
        <f t="shared" si="26"/>
        <v>0</v>
      </c>
      <c r="S50" s="50">
        <v>0</v>
      </c>
      <c r="T50" s="50">
        <v>0</v>
      </c>
      <c r="U50" s="66">
        <f t="shared" si="24"/>
        <v>0</v>
      </c>
      <c r="V50" s="254"/>
      <c r="W50" s="62"/>
      <c r="X50" s="66"/>
      <c r="Y50" s="254"/>
    </row>
    <row r="51" spans="1:25" ht="14.5" customHeight="1" outlineLevel="1" x14ac:dyDescent="0.35">
      <c r="A51" s="60">
        <f>ROWS($A$45:A51)</f>
        <v>7</v>
      </c>
      <c r="B51" s="194" t="s">
        <v>64</v>
      </c>
      <c r="C51" s="61" t="s">
        <v>143</v>
      </c>
      <c r="D51" s="202" t="s">
        <v>144</v>
      </c>
      <c r="E51" s="199" t="s">
        <v>36</v>
      </c>
      <c r="F51" s="191">
        <v>3</v>
      </c>
      <c r="G51" s="67" cm="1">
        <f t="array" ref="G51">SUMPRODUCT('2.1. Thưởng NCC - ver1'!$F$7:$Q$24*('2.1. Thưởng NCC - ver1'!$B$7:$B$24='2.2 Thưởng NCC - ver2'!$B51)*('2.1. Thưởng NCC - ver1'!$F$6:$Q$6='2.2 Thưởng NCC - ver2'!$F51)*('2.1. Thưởng NCC - ver1'!$D$7:$D$24='2.2 Thưởng NCC - ver2'!$D51))</f>
        <v>0</v>
      </c>
      <c r="H51" s="63" cm="1">
        <f t="array" ref="H51">SUMPRODUCT('2.1. Thưởng NCC - ver1'!$R$7:$AC$24*('2.1. Thưởng NCC - ver1'!$B$7:$B$24='2.2 Thưởng NCC - ver2'!$B51)*('2.1. Thưởng NCC - ver1'!$R$6:$AC$6='2.2 Thưởng NCC - ver2'!$F51)*('2.1. Thưởng NCC - ver1'!$D$7:$D$24='2.2 Thưởng NCC - ver2'!$D51))</f>
        <v>0</v>
      </c>
      <c r="I51" s="63" cm="1">
        <f t="array" ref="I51">SUMPRODUCT('2.1. Thưởng NCC - ver1'!$AD$7:$AO$24*('2.1. Thưởng NCC - ver1'!$B$7:$B$24='2.2 Thưởng NCC - ver2'!$B51)*('2.1. Thưởng NCC - ver1'!$AD$6:$AO$6='2.2 Thưởng NCC - ver2'!$F51)*('2.1. Thưởng NCC - ver1'!$D$7:$D$24='2.2 Thưởng NCC - ver2'!$D51))</f>
        <v>0</v>
      </c>
      <c r="J51" s="71">
        <f t="shared" si="22"/>
        <v>0</v>
      </c>
      <c r="K51" s="63"/>
      <c r="L51" s="66"/>
      <c r="M51" s="254"/>
      <c r="N51" s="62">
        <f t="shared" si="23"/>
        <v>0</v>
      </c>
      <c r="O51" s="66">
        <f>IF(E51&lt;&gt;"",_xlfn.XLOOKUP($E51,'1. CS Hỗ trợ vận chuyển'!$D$8:$D$42,'1. CS Hỗ trợ vận chuyển'!$H$8:$H$42),0)</f>
        <v>300</v>
      </c>
      <c r="P51" s="254"/>
      <c r="Q51" s="62">
        <f t="shared" si="25"/>
        <v>0</v>
      </c>
      <c r="R51" s="63">
        <f t="shared" si="26"/>
        <v>0</v>
      </c>
      <c r="S51" s="50">
        <v>0</v>
      </c>
      <c r="T51" s="50">
        <v>0</v>
      </c>
      <c r="U51" s="66">
        <f t="shared" si="24"/>
        <v>0</v>
      </c>
      <c r="V51" s="254"/>
      <c r="W51" s="62"/>
      <c r="X51" s="66"/>
      <c r="Y51" s="254"/>
    </row>
    <row r="52" spans="1:25" ht="14.5" customHeight="1" outlineLevel="1" x14ac:dyDescent="0.35">
      <c r="A52" s="60">
        <f>ROWS($A$45:A52)</f>
        <v>8</v>
      </c>
      <c r="B52" s="194" t="s">
        <v>64</v>
      </c>
      <c r="C52" s="61" t="s">
        <v>143</v>
      </c>
      <c r="D52" s="202" t="s">
        <v>1287</v>
      </c>
      <c r="E52" s="199" t="s">
        <v>36</v>
      </c>
      <c r="F52" s="190">
        <v>3</v>
      </c>
      <c r="G52" s="67" cm="1">
        <f t="array" ref="G52">SUMPRODUCT('2.1. Thưởng NCC - ver1'!$F$7:$Q$24*('2.1. Thưởng NCC - ver1'!$B$7:$B$24='2.2 Thưởng NCC - ver2'!$B52)*('2.1. Thưởng NCC - ver1'!$F$6:$Q$6='2.2 Thưởng NCC - ver2'!$F52)*('2.1. Thưởng NCC - ver1'!$D$7:$D$24='2.2 Thưởng NCC - ver2'!$D52))</f>
        <v>100</v>
      </c>
      <c r="H52" s="63" cm="1">
        <f t="array" ref="H52">SUMPRODUCT('2.1. Thưởng NCC - ver1'!$R$7:$AC$24*('2.1. Thưởng NCC - ver1'!$B$7:$B$24='2.2 Thưởng NCC - ver2'!$B52)*('2.1. Thưởng NCC - ver1'!$R$6:$AC$6='2.2 Thưởng NCC - ver2'!$F52)*('2.1. Thưởng NCC - ver1'!$D$7:$D$24='2.2 Thưởng NCC - ver2'!$D52))</f>
        <v>137.63</v>
      </c>
      <c r="I52" s="63" cm="1">
        <f t="array" ref="I52">SUMPRODUCT('2.1. Thưởng NCC - ver1'!$AD$7:$AO$24*('2.1. Thưởng NCC - ver1'!$B$7:$B$24='2.2 Thưởng NCC - ver2'!$B52)*('2.1. Thưởng NCC - ver1'!$AD$6:$AO$6='2.2 Thưởng NCC - ver2'!$F52)*('2.1. Thưởng NCC - ver1'!$D$7:$D$24='2.2 Thưởng NCC - ver2'!$D52))</f>
        <v>137.63</v>
      </c>
      <c r="J52" s="71">
        <f t="shared" si="22"/>
        <v>1.3762999999999999</v>
      </c>
      <c r="K52" s="63"/>
      <c r="L52" s="66"/>
      <c r="M52" s="254"/>
      <c r="N52" s="62">
        <f t="shared" si="23"/>
        <v>150</v>
      </c>
      <c r="O52" s="66">
        <f>IF(E52&lt;&gt;"",_xlfn.XLOOKUP($E52,'1. CS Hỗ trợ vận chuyển'!$D$8:$D$42,'1. CS Hỗ trợ vận chuyển'!$H$8:$H$42),0)</f>
        <v>300</v>
      </c>
      <c r="P52" s="254"/>
      <c r="Q52" s="62">
        <f t="shared" si="25"/>
        <v>20.644500000000001</v>
      </c>
      <c r="R52" s="63">
        <f t="shared" si="26"/>
        <v>41.289000000000001</v>
      </c>
      <c r="S52" s="50">
        <v>0</v>
      </c>
      <c r="T52" s="50">
        <v>0</v>
      </c>
      <c r="U52" s="66">
        <f t="shared" si="24"/>
        <v>61.933500000000002</v>
      </c>
      <c r="V52" s="254"/>
      <c r="W52" s="62"/>
      <c r="X52" s="66"/>
      <c r="Y52" s="254"/>
    </row>
    <row r="53" spans="1:25" ht="14.5" customHeight="1" outlineLevel="1" x14ac:dyDescent="0.35">
      <c r="A53" s="60">
        <f>ROWS($A$45:A53)</f>
        <v>9</v>
      </c>
      <c r="B53" s="194" t="s">
        <v>64</v>
      </c>
      <c r="C53" s="61" t="s">
        <v>125</v>
      </c>
      <c r="D53" s="202" t="s">
        <v>126</v>
      </c>
      <c r="E53" s="199" t="s">
        <v>63</v>
      </c>
      <c r="F53" s="190">
        <v>3</v>
      </c>
      <c r="G53" s="67" cm="1">
        <f t="array" ref="G53">SUMPRODUCT('2.1. Thưởng NCC - ver1'!$F$7:$Q$24*('2.1. Thưởng NCC - ver1'!$B$7:$B$24='2.2 Thưởng NCC - ver2'!$B53)*('2.1. Thưởng NCC - ver1'!$F$6:$Q$6='2.2 Thưởng NCC - ver2'!$F53)*('2.1. Thưởng NCC - ver1'!$D$7:$D$24='2.2 Thưởng NCC - ver2'!$D53))</f>
        <v>100</v>
      </c>
      <c r="H53" s="63" cm="1">
        <f t="array" ref="H53">SUMPRODUCT('2.1. Thưởng NCC - ver1'!$R$7:$AC$24*('2.1. Thưởng NCC - ver1'!$B$7:$B$24='2.2 Thưởng NCC - ver2'!$B53)*('2.1. Thưởng NCC - ver1'!$R$6:$AC$6='2.2 Thưởng NCC - ver2'!$F53)*('2.1. Thưởng NCC - ver1'!$D$7:$D$24='2.2 Thưởng NCC - ver2'!$D53))</f>
        <v>22.126999999999999</v>
      </c>
      <c r="I53" s="63" cm="1">
        <f t="array" ref="I53">SUMPRODUCT('2.1. Thưởng NCC - ver1'!$AD$7:$AO$24*('2.1. Thưởng NCC - ver1'!$B$7:$B$24='2.2 Thưởng NCC - ver2'!$B53)*('2.1. Thưởng NCC - ver1'!$AD$6:$AO$6='2.2 Thưởng NCC - ver2'!$F53)*('2.1. Thưởng NCC - ver1'!$D$7:$D$24='2.2 Thưởng NCC - ver2'!$D53))</f>
        <v>22.126999999999999</v>
      </c>
      <c r="J53" s="71">
        <f t="shared" si="22"/>
        <v>0.22126999999999999</v>
      </c>
      <c r="K53" s="63"/>
      <c r="L53" s="66"/>
      <c r="M53" s="254"/>
      <c r="N53" s="62">
        <f t="shared" si="23"/>
        <v>0</v>
      </c>
      <c r="O53" s="66">
        <f>IF(E53&lt;&gt;"",_xlfn.XLOOKUP($E53,'1. CS Hỗ trợ vận chuyển'!$D$8:$D$42,'1. CS Hỗ trợ vận chuyển'!$H$8:$H$42),0)</f>
        <v>300</v>
      </c>
      <c r="P53" s="254"/>
      <c r="Q53" s="62">
        <f t="shared" si="25"/>
        <v>0</v>
      </c>
      <c r="R53" s="63">
        <f t="shared" si="26"/>
        <v>6.6380999999999997</v>
      </c>
      <c r="S53" s="50">
        <v>0</v>
      </c>
      <c r="T53" s="50">
        <v>0</v>
      </c>
      <c r="U53" s="66">
        <f t="shared" si="24"/>
        <v>6.6380999999999997</v>
      </c>
      <c r="V53" s="254"/>
      <c r="W53" s="62"/>
      <c r="X53" s="66"/>
      <c r="Y53" s="254"/>
    </row>
    <row r="54" spans="1:25" ht="14.5" customHeight="1" outlineLevel="1" x14ac:dyDescent="0.35">
      <c r="A54" s="60">
        <f>ROWS($A$45:A54)</f>
        <v>10</v>
      </c>
      <c r="B54" s="194"/>
      <c r="C54" s="61"/>
      <c r="D54" s="202"/>
      <c r="E54" s="199"/>
      <c r="F54" s="190"/>
      <c r="G54" s="67" cm="1">
        <f t="array" ref="G54">SUMPRODUCT('2.1. Thưởng NCC - ver1'!$F$7:$Q$24*('2.1. Thưởng NCC - ver1'!$B$7:$B$24='2.2 Thưởng NCC - ver2'!$B54)*('2.1. Thưởng NCC - ver1'!$F$6:$Q$6='2.2 Thưởng NCC - ver2'!$F54)*('2.1. Thưởng NCC - ver1'!$D$7:$D$24='2.2 Thưởng NCC - ver2'!$D54))</f>
        <v>0</v>
      </c>
      <c r="H54" s="63" cm="1">
        <f t="array" ref="H54">SUMPRODUCT('2.1. Thưởng NCC - ver1'!$R$7:$AC$24*('2.1. Thưởng NCC - ver1'!$B$7:$B$24='2.2 Thưởng NCC - ver2'!$B54)*('2.1. Thưởng NCC - ver1'!$R$6:$AC$6='2.2 Thưởng NCC - ver2'!$F54)*('2.1. Thưởng NCC - ver1'!$D$7:$D$24='2.2 Thưởng NCC - ver2'!$D54))</f>
        <v>0</v>
      </c>
      <c r="I54" s="63" cm="1">
        <f t="array" ref="I54">SUMPRODUCT('2.1. Thưởng NCC - ver1'!$AD$7:$AO$24*('2.1. Thưởng NCC - ver1'!$B$7:$B$24='2.2 Thưởng NCC - ver2'!$B54)*('2.1. Thưởng NCC - ver1'!$AD$6:$AO$6='2.2 Thưởng NCC - ver2'!$F54)*('2.1. Thưởng NCC - ver1'!$D$7:$D$24='2.2 Thưởng NCC - ver2'!$D54))</f>
        <v>0</v>
      </c>
      <c r="J54" s="71">
        <f t="shared" ref="J54:J55" si="29">IFERROR(H54/G54,0)</f>
        <v>0</v>
      </c>
      <c r="K54" s="63"/>
      <c r="L54" s="66"/>
      <c r="M54" s="254"/>
      <c r="N54" s="62">
        <f t="shared" ref="N54:N55" si="30">IF(J54&lt;95%,0,150)</f>
        <v>0</v>
      </c>
      <c r="O54" s="66">
        <f>IF(E54&lt;&gt;"",_xlfn.XLOOKUP($E54,'1. CS Hỗ trợ vận chuyển'!$D$8:$D$42,'1. CS Hỗ trợ vận chuyển'!$H$8:$H$42),0)</f>
        <v>0</v>
      </c>
      <c r="P54" s="254"/>
      <c r="Q54" s="62">
        <f t="shared" si="25"/>
        <v>0</v>
      </c>
      <c r="R54" s="63">
        <f t="shared" si="26"/>
        <v>0</v>
      </c>
      <c r="S54" s="50">
        <v>0</v>
      </c>
      <c r="T54" s="50">
        <v>0</v>
      </c>
      <c r="U54" s="66">
        <f t="shared" si="24"/>
        <v>0</v>
      </c>
      <c r="V54" s="254"/>
      <c r="W54" s="62"/>
      <c r="X54" s="66"/>
      <c r="Y54" s="254"/>
    </row>
    <row r="55" spans="1:25" ht="14.5" customHeight="1" outlineLevel="1" x14ac:dyDescent="0.35">
      <c r="A55" s="60">
        <f>ROWS($A$45:A55)</f>
        <v>11</v>
      </c>
      <c r="B55" s="194"/>
      <c r="C55" s="61"/>
      <c r="D55" s="202"/>
      <c r="E55" s="199"/>
      <c r="F55" s="190"/>
      <c r="G55" s="67" cm="1">
        <f t="array" ref="G55">SUMPRODUCT('2.1. Thưởng NCC - ver1'!$F$7:$Q$24*('2.1. Thưởng NCC - ver1'!$B$7:$B$24='2.2 Thưởng NCC - ver2'!$B55)*('2.1. Thưởng NCC - ver1'!$F$6:$Q$6='2.2 Thưởng NCC - ver2'!$F55)*('2.1. Thưởng NCC - ver1'!$D$7:$D$24='2.2 Thưởng NCC - ver2'!$D55))</f>
        <v>0</v>
      </c>
      <c r="H55" s="63" cm="1">
        <f t="array" ref="H55">SUMPRODUCT('2.1. Thưởng NCC - ver1'!$R$7:$AC$24*('2.1. Thưởng NCC - ver1'!$B$7:$B$24='2.2 Thưởng NCC - ver2'!$B55)*('2.1. Thưởng NCC - ver1'!$R$6:$AC$6='2.2 Thưởng NCC - ver2'!$F55)*('2.1. Thưởng NCC - ver1'!$D$7:$D$24='2.2 Thưởng NCC - ver2'!$D55))</f>
        <v>0</v>
      </c>
      <c r="I55" s="63" cm="1">
        <f t="array" ref="I55">SUMPRODUCT('2.1. Thưởng NCC - ver1'!$AD$7:$AO$24*('2.1. Thưởng NCC - ver1'!$B$7:$B$24='2.2 Thưởng NCC - ver2'!$B55)*('2.1. Thưởng NCC - ver1'!$AD$6:$AO$6='2.2 Thưởng NCC - ver2'!$F55)*('2.1. Thưởng NCC - ver1'!$D$7:$D$24='2.2 Thưởng NCC - ver2'!$D55))</f>
        <v>0</v>
      </c>
      <c r="J55" s="71">
        <f t="shared" si="29"/>
        <v>0</v>
      </c>
      <c r="K55" s="63"/>
      <c r="L55" s="66"/>
      <c r="M55" s="254"/>
      <c r="N55" s="62">
        <f t="shared" si="30"/>
        <v>0</v>
      </c>
      <c r="O55" s="66">
        <f>IF(E55&lt;&gt;"",_xlfn.XLOOKUP($E55,'1. CS Hỗ trợ vận chuyển'!$D$8:$D$42,'1. CS Hỗ trợ vận chuyển'!$H$8:$H$42),0)</f>
        <v>0</v>
      </c>
      <c r="P55" s="254"/>
      <c r="Q55" s="62">
        <f t="shared" si="25"/>
        <v>0</v>
      </c>
      <c r="R55" s="63">
        <f t="shared" si="26"/>
        <v>0</v>
      </c>
      <c r="S55" s="50">
        <v>0</v>
      </c>
      <c r="T55" s="50">
        <v>0</v>
      </c>
      <c r="U55" s="66">
        <f t="shared" si="24"/>
        <v>0</v>
      </c>
      <c r="V55" s="254"/>
      <c r="W55" s="62"/>
      <c r="X55" s="66"/>
      <c r="Y55" s="254"/>
    </row>
    <row r="56" spans="1:25" ht="15" thickBot="1" x14ac:dyDescent="0.4">
      <c r="A56" s="206"/>
      <c r="B56" s="207" t="s">
        <v>1250</v>
      </c>
      <c r="C56" s="207"/>
      <c r="D56" s="244"/>
      <c r="E56" s="207"/>
      <c r="F56" s="208"/>
      <c r="G56" s="209">
        <f>SUM(G45:G55)</f>
        <v>350</v>
      </c>
      <c r="H56" s="210">
        <f t="shared" ref="H56:I56" si="31">SUM(H45:H55)</f>
        <v>341.62200000000001</v>
      </c>
      <c r="I56" s="210">
        <f t="shared" si="31"/>
        <v>341.62200000000001</v>
      </c>
      <c r="J56" s="242"/>
      <c r="K56" s="241"/>
      <c r="L56" s="243"/>
      <c r="M56" s="254"/>
      <c r="N56" s="240"/>
      <c r="O56" s="239"/>
      <c r="P56" s="254"/>
      <c r="Q56" s="240">
        <f t="shared" ref="Q56" si="32">SUM(Q45:Q55)</f>
        <v>47.924250000000001</v>
      </c>
      <c r="R56" s="210">
        <f t="shared" ref="R56" si="33">SUM(R45:R55)</f>
        <v>102.4866</v>
      </c>
      <c r="S56" s="210">
        <f t="shared" ref="S56" si="34">SUM(S45:S55)</f>
        <v>0</v>
      </c>
      <c r="T56" s="210">
        <f t="shared" ref="T56" si="35">SUM(T45:T55)</f>
        <v>0</v>
      </c>
      <c r="U56" s="212">
        <f>SUM(U45:U55)</f>
        <v>150.41085000000001</v>
      </c>
      <c r="V56" s="254"/>
      <c r="W56" s="240"/>
      <c r="X56" s="243"/>
      <c r="Y56" s="254"/>
    </row>
    <row r="57" spans="1:25" s="68" customFormat="1" ht="15.5" thickTop="1" thickBot="1" x14ac:dyDescent="0.4">
      <c r="A57" s="224"/>
      <c r="B57" s="233" t="s">
        <v>154</v>
      </c>
      <c r="C57" s="225"/>
      <c r="D57" s="225"/>
      <c r="E57" s="234"/>
      <c r="F57" s="235"/>
      <c r="G57" s="226">
        <f>SUM(G35,G44,G56)</f>
        <v>2030</v>
      </c>
      <c r="H57" s="227">
        <f>SUM(H35,H44,H56)</f>
        <v>2273.6550000000002</v>
      </c>
      <c r="I57" s="227">
        <f>SUM(I35,I44,I56)</f>
        <v>2188.136</v>
      </c>
      <c r="J57" s="228"/>
      <c r="K57" s="227"/>
      <c r="L57" s="230">
        <f>SUM(L6:L45)</f>
        <v>12983.620848141436</v>
      </c>
      <c r="M57" s="254"/>
      <c r="N57" s="226"/>
      <c r="O57" s="230"/>
      <c r="P57" s="254"/>
      <c r="Q57" s="226">
        <f>SUM(Q35,Q44,Q56)</f>
        <v>309.32190000000003</v>
      </c>
      <c r="R57" s="227">
        <f>SUM(R35,R44,R56)</f>
        <v>831.00990000000013</v>
      </c>
      <c r="S57" s="227">
        <f>SUM(S35,S44,S56)</f>
        <v>60</v>
      </c>
      <c r="T57" s="227">
        <f>SUM(T35,T44,T56)</f>
        <v>30</v>
      </c>
      <c r="U57" s="230">
        <f>SUM(U35,U44,U56)</f>
        <v>1230.3317999999997</v>
      </c>
      <c r="V57" s="254"/>
      <c r="W57" s="226"/>
      <c r="X57" s="230"/>
      <c r="Y57" s="254"/>
    </row>
    <row r="60" spans="1:25" x14ac:dyDescent="0.35">
      <c r="U60" s="255"/>
    </row>
  </sheetData>
  <hyperlinks>
    <hyperlink ref="A1" location="DM!B7" display="Quay lại" xr:uid="{8C42D110-754F-4FC2-BAF4-24BD4A7F0C73}"/>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FD201-E37D-493F-B3E2-91FD8F73CF22}">
  <dimension ref="A1:G542"/>
  <sheetViews>
    <sheetView showGridLines="0" workbookViewId="0">
      <pane xSplit="4" ySplit="5" topLeftCell="E65" activePane="bottomRight" state="frozen"/>
      <selection pane="topRight" activeCell="E1" sqref="E1"/>
      <selection pane="bottomLeft" activeCell="A6" sqref="A6"/>
      <selection pane="bottomRight" activeCell="D5" sqref="A5:G5"/>
    </sheetView>
  </sheetViews>
  <sheetFormatPr defaultRowHeight="14.5" x14ac:dyDescent="0.35"/>
  <cols>
    <col min="1" max="1" width="5.7265625" customWidth="1"/>
    <col min="2" max="2" width="14.1796875" customWidth="1"/>
    <col min="3" max="3" width="22.1796875" bestFit="1" customWidth="1"/>
    <col min="4" max="4" width="46.453125" style="173" customWidth="1"/>
    <col min="5" max="5" width="19.36328125" style="173" customWidth="1"/>
    <col min="6" max="6" width="18.1796875" customWidth="1"/>
    <col min="7" max="7" width="13.453125" bestFit="1" customWidth="1"/>
    <col min="8" max="8" width="13.81640625" bestFit="1" customWidth="1"/>
  </cols>
  <sheetData>
    <row r="1" spans="1:7" x14ac:dyDescent="0.35">
      <c r="A1" s="41" t="s">
        <v>100</v>
      </c>
    </row>
    <row r="2" spans="1:7" ht="21" x14ac:dyDescent="0.35">
      <c r="B2" s="22" t="s">
        <v>1246</v>
      </c>
    </row>
    <row r="5" spans="1:7" ht="15" thickBot="1" x14ac:dyDescent="0.4">
      <c r="A5" s="169" t="s">
        <v>19</v>
      </c>
      <c r="B5" s="170" t="s">
        <v>1245</v>
      </c>
      <c r="C5" s="170" t="s">
        <v>234</v>
      </c>
      <c r="D5" s="170" t="s">
        <v>235</v>
      </c>
      <c r="E5" s="170" t="s">
        <v>1280</v>
      </c>
      <c r="F5" s="170" t="s">
        <v>236</v>
      </c>
      <c r="G5" s="170" t="s">
        <v>237</v>
      </c>
    </row>
    <row r="6" spans="1:7" ht="15" thickBot="1" x14ac:dyDescent="0.4">
      <c r="A6" s="171">
        <f>ROWS($A$6:A6)</f>
        <v>1</v>
      </c>
      <c r="B6" s="172" t="s">
        <v>25</v>
      </c>
      <c r="C6" s="172" t="s">
        <v>238</v>
      </c>
      <c r="D6" s="172" t="s">
        <v>239</v>
      </c>
      <c r="E6" s="172" t="s">
        <v>1281</v>
      </c>
      <c r="F6" s="172" t="s">
        <v>35</v>
      </c>
      <c r="G6" s="172" t="s">
        <v>240</v>
      </c>
    </row>
    <row r="7" spans="1:7" ht="15" thickBot="1" x14ac:dyDescent="0.4">
      <c r="A7" s="171">
        <f>ROWS($A$6:A7)</f>
        <v>2</v>
      </c>
      <c r="B7" s="168" t="s">
        <v>25</v>
      </c>
      <c r="C7" s="168" t="s">
        <v>241</v>
      </c>
      <c r="D7" s="168" t="s">
        <v>242</v>
      </c>
      <c r="E7" s="172" t="s">
        <v>1281</v>
      </c>
      <c r="F7" s="168" t="s">
        <v>35</v>
      </c>
      <c r="G7" s="168" t="s">
        <v>240</v>
      </c>
    </row>
    <row r="8" spans="1:7" ht="15" thickBot="1" x14ac:dyDescent="0.4">
      <c r="A8" s="171">
        <f>ROWS($A$6:A8)</f>
        <v>3</v>
      </c>
      <c r="B8" s="168" t="s">
        <v>25</v>
      </c>
      <c r="C8" s="168" t="s">
        <v>243</v>
      </c>
      <c r="D8" s="168" t="s">
        <v>244</v>
      </c>
      <c r="E8" s="172" t="s">
        <v>1281</v>
      </c>
      <c r="F8" s="168" t="s">
        <v>35</v>
      </c>
      <c r="G8" s="168" t="s">
        <v>240</v>
      </c>
    </row>
    <row r="9" spans="1:7" ht="15" thickBot="1" x14ac:dyDescent="0.4">
      <c r="A9" s="171">
        <f>ROWS($A$6:A9)</f>
        <v>4</v>
      </c>
      <c r="B9" s="168" t="s">
        <v>25</v>
      </c>
      <c r="C9" s="168" t="s">
        <v>245</v>
      </c>
      <c r="D9" s="168" t="s">
        <v>246</v>
      </c>
      <c r="E9" s="172" t="s">
        <v>1281</v>
      </c>
      <c r="F9" s="168" t="s">
        <v>35</v>
      </c>
      <c r="G9" s="168" t="s">
        <v>240</v>
      </c>
    </row>
    <row r="10" spans="1:7" ht="15" thickBot="1" x14ac:dyDescent="0.4">
      <c r="A10" s="171">
        <f>ROWS($A$6:A10)</f>
        <v>5</v>
      </c>
      <c r="B10" s="168" t="s">
        <v>25</v>
      </c>
      <c r="C10" s="168" t="s">
        <v>247</v>
      </c>
      <c r="D10" s="168" t="s">
        <v>248</v>
      </c>
      <c r="E10" s="172" t="s">
        <v>1281</v>
      </c>
      <c r="F10" s="168" t="s">
        <v>35</v>
      </c>
      <c r="G10" s="168" t="s">
        <v>240</v>
      </c>
    </row>
    <row r="11" spans="1:7" ht="15" thickBot="1" x14ac:dyDescent="0.4">
      <c r="A11" s="171">
        <f>ROWS($A$6:A11)</f>
        <v>6</v>
      </c>
      <c r="B11" s="168" t="s">
        <v>25</v>
      </c>
      <c r="C11" s="168" t="s">
        <v>249</v>
      </c>
      <c r="D11" s="168" t="s">
        <v>250</v>
      </c>
      <c r="E11" s="172" t="s">
        <v>1281</v>
      </c>
      <c r="F11" s="168" t="s">
        <v>35</v>
      </c>
      <c r="G11" s="168" t="s">
        <v>240</v>
      </c>
    </row>
    <row r="12" spans="1:7" ht="15" thickBot="1" x14ac:dyDescent="0.4">
      <c r="A12" s="171">
        <f>ROWS($A$6:A12)</f>
        <v>7</v>
      </c>
      <c r="B12" s="168" t="s">
        <v>25</v>
      </c>
      <c r="C12" s="168" t="s">
        <v>251</v>
      </c>
      <c r="D12" s="168" t="s">
        <v>252</v>
      </c>
      <c r="E12" s="172" t="s">
        <v>1281</v>
      </c>
      <c r="F12" s="168" t="s">
        <v>35</v>
      </c>
      <c r="G12" s="168" t="s">
        <v>240</v>
      </c>
    </row>
    <row r="13" spans="1:7" ht="15" thickBot="1" x14ac:dyDescent="0.4">
      <c r="A13" s="171">
        <f>ROWS($A$6:A13)</f>
        <v>8</v>
      </c>
      <c r="B13" s="168" t="s">
        <v>25</v>
      </c>
      <c r="C13" s="168" t="s">
        <v>253</v>
      </c>
      <c r="D13" s="168" t="s">
        <v>254</v>
      </c>
      <c r="E13" s="172" t="s">
        <v>1281</v>
      </c>
      <c r="F13" s="168" t="s">
        <v>37</v>
      </c>
      <c r="G13" s="168" t="s">
        <v>67</v>
      </c>
    </row>
    <row r="14" spans="1:7" ht="15" thickBot="1" x14ac:dyDescent="0.4">
      <c r="A14" s="171">
        <f>ROWS($A$6:A14)</f>
        <v>9</v>
      </c>
      <c r="B14" s="168" t="s">
        <v>25</v>
      </c>
      <c r="C14" s="168" t="s">
        <v>255</v>
      </c>
      <c r="D14" s="168" t="s">
        <v>256</v>
      </c>
      <c r="E14" s="172" t="s">
        <v>1281</v>
      </c>
      <c r="F14" s="168" t="s">
        <v>33</v>
      </c>
      <c r="G14" s="168" t="s">
        <v>257</v>
      </c>
    </row>
    <row r="15" spans="1:7" ht="15" thickBot="1" x14ac:dyDescent="0.4">
      <c r="A15" s="171">
        <f>ROWS($A$6:A15)</f>
        <v>10</v>
      </c>
      <c r="B15" s="168" t="s">
        <v>25</v>
      </c>
      <c r="C15" s="168" t="s">
        <v>258</v>
      </c>
      <c r="D15" s="168" t="s">
        <v>259</v>
      </c>
      <c r="E15" s="172" t="s">
        <v>1281</v>
      </c>
      <c r="F15" s="168" t="s">
        <v>35</v>
      </c>
      <c r="G15" s="168" t="s">
        <v>240</v>
      </c>
    </row>
    <row r="16" spans="1:7" ht="15" thickBot="1" x14ac:dyDescent="0.4">
      <c r="A16" s="171">
        <f>ROWS($A$6:A16)</f>
        <v>11</v>
      </c>
      <c r="B16" s="168" t="s">
        <v>25</v>
      </c>
      <c r="C16" s="168" t="s">
        <v>260</v>
      </c>
      <c r="D16" s="168" t="s">
        <v>261</v>
      </c>
      <c r="E16" s="172" t="s">
        <v>1281</v>
      </c>
      <c r="F16" s="168" t="s">
        <v>35</v>
      </c>
      <c r="G16" s="168" t="s">
        <v>240</v>
      </c>
    </row>
    <row r="17" spans="1:7" ht="15" thickBot="1" x14ac:dyDescent="0.4">
      <c r="A17" s="171">
        <f>ROWS($A$6:A17)</f>
        <v>12</v>
      </c>
      <c r="B17" s="168" t="s">
        <v>25</v>
      </c>
      <c r="C17" s="168" t="s">
        <v>262</v>
      </c>
      <c r="D17" s="168" t="s">
        <v>263</v>
      </c>
      <c r="E17" s="172" t="s">
        <v>1281</v>
      </c>
      <c r="F17" s="168" t="s">
        <v>35</v>
      </c>
      <c r="G17" s="168" t="s">
        <v>240</v>
      </c>
    </row>
    <row r="18" spans="1:7" ht="15" thickBot="1" x14ac:dyDescent="0.4">
      <c r="A18" s="171">
        <f>ROWS($A$6:A18)</f>
        <v>13</v>
      </c>
      <c r="B18" s="168" t="s">
        <v>25</v>
      </c>
      <c r="C18" s="168" t="s">
        <v>264</v>
      </c>
      <c r="D18" s="168" t="s">
        <v>265</v>
      </c>
      <c r="E18" s="172" t="s">
        <v>1281</v>
      </c>
      <c r="F18" s="168" t="s">
        <v>240</v>
      </c>
      <c r="G18" s="168" t="s">
        <v>240</v>
      </c>
    </row>
    <row r="19" spans="1:7" ht="15" thickBot="1" x14ac:dyDescent="0.4">
      <c r="A19" s="171">
        <f>ROWS($A$6:A19)</f>
        <v>14</v>
      </c>
      <c r="B19" s="168" t="s">
        <v>25</v>
      </c>
      <c r="C19" s="168" t="s">
        <v>267</v>
      </c>
      <c r="D19" s="168" t="s">
        <v>268</v>
      </c>
      <c r="E19" s="172" t="s">
        <v>1281</v>
      </c>
      <c r="F19" s="168" t="s">
        <v>35</v>
      </c>
      <c r="G19" s="168" t="s">
        <v>240</v>
      </c>
    </row>
    <row r="20" spans="1:7" ht="15" thickBot="1" x14ac:dyDescent="0.4">
      <c r="A20" s="171">
        <f>ROWS($A$6:A20)</f>
        <v>15</v>
      </c>
      <c r="B20" s="168" t="s">
        <v>25</v>
      </c>
      <c r="C20" s="168" t="s">
        <v>269</v>
      </c>
      <c r="D20" s="168" t="s">
        <v>270</v>
      </c>
      <c r="E20" s="172" t="s">
        <v>1281</v>
      </c>
      <c r="F20" s="168" t="s">
        <v>35</v>
      </c>
      <c r="G20" s="168" t="s">
        <v>240</v>
      </c>
    </row>
    <row r="21" spans="1:7" ht="15" thickBot="1" x14ac:dyDescent="0.4">
      <c r="A21" s="171">
        <f>ROWS($A$6:A21)</f>
        <v>16</v>
      </c>
      <c r="B21" s="168" t="s">
        <v>25</v>
      </c>
      <c r="C21" s="168" t="s">
        <v>271</v>
      </c>
      <c r="D21" s="168" t="s">
        <v>272</v>
      </c>
      <c r="E21" s="172" t="s">
        <v>1281</v>
      </c>
      <c r="F21" s="168" t="s">
        <v>39</v>
      </c>
      <c r="G21" s="168" t="s">
        <v>68</v>
      </c>
    </row>
    <row r="22" spans="1:7" ht="15" thickBot="1" x14ac:dyDescent="0.4">
      <c r="A22" s="171">
        <f>ROWS($A$6:A22)</f>
        <v>17</v>
      </c>
      <c r="B22" s="168" t="s">
        <v>25</v>
      </c>
      <c r="C22" s="168" t="s">
        <v>273</v>
      </c>
      <c r="D22" s="168" t="s">
        <v>274</v>
      </c>
      <c r="E22" s="172" t="s">
        <v>1281</v>
      </c>
      <c r="F22" s="168" t="s">
        <v>35</v>
      </c>
      <c r="G22" s="168" t="s">
        <v>240</v>
      </c>
    </row>
    <row r="23" spans="1:7" ht="15" thickBot="1" x14ac:dyDescent="0.4">
      <c r="A23" s="171">
        <f>ROWS($A$6:A23)</f>
        <v>18</v>
      </c>
      <c r="B23" s="168" t="s">
        <v>25</v>
      </c>
      <c r="C23" s="168" t="s">
        <v>275</v>
      </c>
      <c r="D23" s="168" t="s">
        <v>276</v>
      </c>
      <c r="E23" s="172" t="s">
        <v>1281</v>
      </c>
      <c r="F23" s="168" t="s">
        <v>31</v>
      </c>
      <c r="G23" s="168" t="s">
        <v>257</v>
      </c>
    </row>
    <row r="24" spans="1:7" ht="15" thickBot="1" x14ac:dyDescent="0.4">
      <c r="A24" s="171">
        <f>ROWS($A$6:A24)</f>
        <v>19</v>
      </c>
      <c r="B24" s="168" t="s">
        <v>25</v>
      </c>
      <c r="C24" s="168" t="s">
        <v>277</v>
      </c>
      <c r="D24" s="168" t="s">
        <v>278</v>
      </c>
      <c r="E24" s="172" t="s">
        <v>1281</v>
      </c>
      <c r="F24" s="168" t="s">
        <v>240</v>
      </c>
      <c r="G24" s="168" t="s">
        <v>240</v>
      </c>
    </row>
    <row r="25" spans="1:7" ht="15" thickBot="1" x14ac:dyDescent="0.4">
      <c r="A25" s="171">
        <f>ROWS($A$6:A25)</f>
        <v>20</v>
      </c>
      <c r="B25" s="168" t="s">
        <v>25</v>
      </c>
      <c r="C25" s="168" t="s">
        <v>279</v>
      </c>
      <c r="D25" s="168" t="s">
        <v>280</v>
      </c>
      <c r="E25" s="172" t="s">
        <v>1281</v>
      </c>
      <c r="F25" s="168" t="s">
        <v>33</v>
      </c>
      <c r="G25" s="168" t="s">
        <v>257</v>
      </c>
    </row>
    <row r="26" spans="1:7" ht="15" thickBot="1" x14ac:dyDescent="0.4">
      <c r="A26" s="171">
        <f>ROWS($A$6:A26)</f>
        <v>21</v>
      </c>
      <c r="B26" s="168" t="s">
        <v>25</v>
      </c>
      <c r="C26" s="168" t="s">
        <v>281</v>
      </c>
      <c r="D26" s="168" t="s">
        <v>282</v>
      </c>
      <c r="E26" s="172" t="s">
        <v>1281</v>
      </c>
      <c r="F26" s="168" t="s">
        <v>34</v>
      </c>
      <c r="G26" s="168" t="s">
        <v>283</v>
      </c>
    </row>
    <row r="27" spans="1:7" ht="15" thickBot="1" x14ac:dyDescent="0.4">
      <c r="A27" s="171">
        <f>ROWS($A$6:A27)</f>
        <v>22</v>
      </c>
      <c r="B27" s="168" t="s">
        <v>25</v>
      </c>
      <c r="C27" s="168" t="s">
        <v>284</v>
      </c>
      <c r="D27" s="168" t="s">
        <v>285</v>
      </c>
      <c r="E27" s="172" t="s">
        <v>1281</v>
      </c>
      <c r="F27" s="168" t="s">
        <v>35</v>
      </c>
      <c r="G27" s="168" t="s">
        <v>240</v>
      </c>
    </row>
    <row r="28" spans="1:7" ht="15" thickBot="1" x14ac:dyDescent="0.4">
      <c r="A28" s="171">
        <f>ROWS($A$6:A28)</f>
        <v>23</v>
      </c>
      <c r="B28" s="168" t="s">
        <v>25</v>
      </c>
      <c r="C28" s="168" t="s">
        <v>286</v>
      </c>
      <c r="D28" s="168" t="s">
        <v>287</v>
      </c>
      <c r="E28" s="172" t="s">
        <v>1281</v>
      </c>
      <c r="F28" s="168" t="s">
        <v>35</v>
      </c>
      <c r="G28" s="168" t="s">
        <v>240</v>
      </c>
    </row>
    <row r="29" spans="1:7" ht="15" thickBot="1" x14ac:dyDescent="0.4">
      <c r="A29" s="171">
        <f>ROWS($A$6:A29)</f>
        <v>24</v>
      </c>
      <c r="B29" s="168" t="s">
        <v>25</v>
      </c>
      <c r="C29" s="168" t="s">
        <v>288</v>
      </c>
      <c r="D29" s="168" t="s">
        <v>289</v>
      </c>
      <c r="E29" s="172" t="s">
        <v>1281</v>
      </c>
      <c r="F29" s="168" t="s">
        <v>33</v>
      </c>
      <c r="G29" s="168" t="s">
        <v>257</v>
      </c>
    </row>
    <row r="30" spans="1:7" ht="15" thickBot="1" x14ac:dyDescent="0.4">
      <c r="A30" s="171">
        <f>ROWS($A$6:A30)</f>
        <v>25</v>
      </c>
      <c r="B30" s="168" t="s">
        <v>25</v>
      </c>
      <c r="C30" s="168" t="s">
        <v>290</v>
      </c>
      <c r="D30" s="168" t="s">
        <v>291</v>
      </c>
      <c r="E30" s="172" t="s">
        <v>1281</v>
      </c>
      <c r="F30" s="168" t="s">
        <v>35</v>
      </c>
      <c r="G30" s="168" t="s">
        <v>240</v>
      </c>
    </row>
    <row r="31" spans="1:7" ht="15" thickBot="1" x14ac:dyDescent="0.4">
      <c r="A31" s="171">
        <f>ROWS($A$6:A31)</f>
        <v>26</v>
      </c>
      <c r="B31" s="168" t="s">
        <v>25</v>
      </c>
      <c r="C31" s="168" t="s">
        <v>292</v>
      </c>
      <c r="D31" s="168" t="s">
        <v>293</v>
      </c>
      <c r="E31" s="172" t="s">
        <v>1281</v>
      </c>
      <c r="F31" s="168" t="s">
        <v>35</v>
      </c>
      <c r="G31" s="168" t="s">
        <v>240</v>
      </c>
    </row>
    <row r="32" spans="1:7" ht="15" thickBot="1" x14ac:dyDescent="0.4">
      <c r="A32" s="171">
        <f>ROWS($A$6:A32)</f>
        <v>27</v>
      </c>
      <c r="B32" s="168" t="s">
        <v>25</v>
      </c>
      <c r="C32" s="168" t="s">
        <v>294</v>
      </c>
      <c r="D32" s="168" t="s">
        <v>295</v>
      </c>
      <c r="E32" s="172" t="s">
        <v>1281</v>
      </c>
      <c r="F32" s="168" t="s">
        <v>35</v>
      </c>
      <c r="G32" s="168" t="s">
        <v>240</v>
      </c>
    </row>
    <row r="33" spans="1:7" ht="15" thickBot="1" x14ac:dyDescent="0.4">
      <c r="A33" s="171">
        <f>ROWS($A$6:A33)</f>
        <v>28</v>
      </c>
      <c r="B33" s="168" t="s">
        <v>25</v>
      </c>
      <c r="C33" s="168" t="s">
        <v>296</v>
      </c>
      <c r="D33" s="168" t="s">
        <v>297</v>
      </c>
      <c r="E33" s="172" t="s">
        <v>1281</v>
      </c>
      <c r="F33" s="168" t="s">
        <v>35</v>
      </c>
      <c r="G33" s="168" t="s">
        <v>240</v>
      </c>
    </row>
    <row r="34" spans="1:7" ht="15" thickBot="1" x14ac:dyDescent="0.4">
      <c r="A34" s="171">
        <f>ROWS($A$6:A34)</f>
        <v>29</v>
      </c>
      <c r="B34" s="168" t="s">
        <v>25</v>
      </c>
      <c r="C34" s="168" t="s">
        <v>298</v>
      </c>
      <c r="D34" s="168" t="s">
        <v>299</v>
      </c>
      <c r="E34" s="172" t="s">
        <v>1281</v>
      </c>
      <c r="F34" s="168" t="s">
        <v>35</v>
      </c>
      <c r="G34" s="168" t="s">
        <v>240</v>
      </c>
    </row>
    <row r="35" spans="1:7" ht="15" thickBot="1" x14ac:dyDescent="0.4">
      <c r="A35" s="171">
        <f>ROWS($A$6:A35)</f>
        <v>30</v>
      </c>
      <c r="B35" s="168" t="s">
        <v>25</v>
      </c>
      <c r="C35" s="168" t="s">
        <v>300</v>
      </c>
      <c r="D35" s="168" t="s">
        <v>301</v>
      </c>
      <c r="E35" s="172" t="s">
        <v>1281</v>
      </c>
      <c r="F35" s="168" t="s">
        <v>29</v>
      </c>
      <c r="G35" s="168" t="s">
        <v>283</v>
      </c>
    </row>
    <row r="36" spans="1:7" ht="15" thickBot="1" x14ac:dyDescent="0.4">
      <c r="A36" s="171">
        <f>ROWS($A$6:A36)</f>
        <v>31</v>
      </c>
      <c r="B36" s="168" t="s">
        <v>25</v>
      </c>
      <c r="C36" s="168" t="s">
        <v>302</v>
      </c>
      <c r="D36" s="168" t="s">
        <v>303</v>
      </c>
      <c r="E36" s="172" t="s">
        <v>1281</v>
      </c>
      <c r="F36" s="168" t="s">
        <v>33</v>
      </c>
      <c r="G36" s="168" t="s">
        <v>257</v>
      </c>
    </row>
    <row r="37" spans="1:7" ht="15" thickBot="1" x14ac:dyDescent="0.4">
      <c r="A37" s="171">
        <f>ROWS($A$6:A37)</f>
        <v>32</v>
      </c>
      <c r="B37" s="168" t="s">
        <v>25</v>
      </c>
      <c r="C37" s="168" t="s">
        <v>304</v>
      </c>
      <c r="D37" s="168" t="s">
        <v>305</v>
      </c>
      <c r="E37" s="172" t="s">
        <v>1281</v>
      </c>
      <c r="F37" s="168" t="s">
        <v>35</v>
      </c>
      <c r="G37" s="168" t="s">
        <v>240</v>
      </c>
    </row>
    <row r="38" spans="1:7" ht="15" thickBot="1" x14ac:dyDescent="0.4">
      <c r="A38" s="171">
        <f>ROWS($A$6:A38)</f>
        <v>33</v>
      </c>
      <c r="B38" s="168" t="s">
        <v>25</v>
      </c>
      <c r="C38" s="168" t="s">
        <v>306</v>
      </c>
      <c r="D38" s="168" t="s">
        <v>307</v>
      </c>
      <c r="E38" s="172" t="s">
        <v>1281</v>
      </c>
      <c r="F38" s="168" t="s">
        <v>33</v>
      </c>
      <c r="G38" s="168" t="s">
        <v>257</v>
      </c>
    </row>
    <row r="39" spans="1:7" ht="15" thickBot="1" x14ac:dyDescent="0.4">
      <c r="A39" s="171">
        <f>ROWS($A$6:A39)</f>
        <v>34</v>
      </c>
      <c r="B39" s="168" t="s">
        <v>25</v>
      </c>
      <c r="C39" s="168" t="s">
        <v>308</v>
      </c>
      <c r="D39" s="168" t="s">
        <v>309</v>
      </c>
      <c r="E39" s="172" t="s">
        <v>1281</v>
      </c>
      <c r="F39" s="168" t="s">
        <v>35</v>
      </c>
      <c r="G39" s="168" t="s">
        <v>240</v>
      </c>
    </row>
    <row r="40" spans="1:7" ht="15" thickBot="1" x14ac:dyDescent="0.4">
      <c r="A40" s="171">
        <f>ROWS($A$6:A40)</f>
        <v>35</v>
      </c>
      <c r="B40" s="168" t="s">
        <v>25</v>
      </c>
      <c r="C40" s="168" t="s">
        <v>310</v>
      </c>
      <c r="D40" s="168" t="s">
        <v>311</v>
      </c>
      <c r="E40" s="172" t="s">
        <v>1281</v>
      </c>
      <c r="F40" s="168" t="s">
        <v>35</v>
      </c>
      <c r="G40" s="168" t="s">
        <v>240</v>
      </c>
    </row>
    <row r="41" spans="1:7" ht="15" thickBot="1" x14ac:dyDescent="0.4">
      <c r="A41" s="171">
        <f>ROWS($A$6:A41)</f>
        <v>36</v>
      </c>
      <c r="B41" s="168" t="s">
        <v>25</v>
      </c>
      <c r="C41" s="168" t="s">
        <v>312</v>
      </c>
      <c r="D41" s="168" t="s">
        <v>130</v>
      </c>
      <c r="E41" s="168" t="s">
        <v>1282</v>
      </c>
      <c r="F41" s="168" t="s">
        <v>313</v>
      </c>
      <c r="G41" s="168" t="s">
        <v>257</v>
      </c>
    </row>
    <row r="42" spans="1:7" ht="15" thickBot="1" x14ac:dyDescent="0.4">
      <c r="A42" s="171">
        <f>ROWS($A$6:A42)</f>
        <v>37</v>
      </c>
      <c r="B42" s="168" t="s">
        <v>25</v>
      </c>
      <c r="C42" s="168" t="s">
        <v>314</v>
      </c>
      <c r="D42" s="168" t="s">
        <v>315</v>
      </c>
      <c r="E42" s="168" t="s">
        <v>1281</v>
      </c>
      <c r="F42" s="168" t="s">
        <v>35</v>
      </c>
      <c r="G42" s="168" t="s">
        <v>240</v>
      </c>
    </row>
    <row r="43" spans="1:7" ht="15" thickBot="1" x14ac:dyDescent="0.4">
      <c r="A43" s="171">
        <f>ROWS($A$6:A43)</f>
        <v>38</v>
      </c>
      <c r="B43" s="168" t="s">
        <v>25</v>
      </c>
      <c r="C43" s="168" t="s">
        <v>316</v>
      </c>
      <c r="D43" s="168" t="s">
        <v>126</v>
      </c>
      <c r="E43" s="168" t="s">
        <v>1282</v>
      </c>
      <c r="F43" s="168" t="s">
        <v>240</v>
      </c>
      <c r="G43" s="168" t="s">
        <v>240</v>
      </c>
    </row>
    <row r="44" spans="1:7" ht="15" thickBot="1" x14ac:dyDescent="0.4">
      <c r="A44" s="171">
        <f>ROWS($A$6:A44)</f>
        <v>39</v>
      </c>
      <c r="B44" s="168" t="s">
        <v>25</v>
      </c>
      <c r="C44" s="168" t="s">
        <v>317</v>
      </c>
      <c r="D44" s="168" t="s">
        <v>318</v>
      </c>
      <c r="E44" s="168" t="s">
        <v>1281</v>
      </c>
      <c r="F44" s="168" t="s">
        <v>34</v>
      </c>
      <c r="G44" s="168" t="s">
        <v>283</v>
      </c>
    </row>
    <row r="45" spans="1:7" ht="15" thickBot="1" x14ac:dyDescent="0.4">
      <c r="A45" s="171">
        <f>ROWS($A$6:A45)</f>
        <v>40</v>
      </c>
      <c r="B45" s="168" t="s">
        <v>25</v>
      </c>
      <c r="C45" s="168" t="s">
        <v>319</v>
      </c>
      <c r="D45" s="168" t="s">
        <v>320</v>
      </c>
      <c r="E45" s="168" t="s">
        <v>1281</v>
      </c>
      <c r="F45" s="168" t="s">
        <v>33</v>
      </c>
      <c r="G45" s="168" t="s">
        <v>257</v>
      </c>
    </row>
    <row r="46" spans="1:7" ht="15" thickBot="1" x14ac:dyDescent="0.4">
      <c r="A46" s="171">
        <f>ROWS($A$6:A46)</f>
        <v>41</v>
      </c>
      <c r="B46" s="168" t="s">
        <v>25</v>
      </c>
      <c r="C46" s="168" t="s">
        <v>321</v>
      </c>
      <c r="D46" s="168" t="s">
        <v>136</v>
      </c>
      <c r="E46" s="168" t="s">
        <v>1282</v>
      </c>
      <c r="F46" s="168" t="s">
        <v>30</v>
      </c>
      <c r="G46" s="168" t="s">
        <v>283</v>
      </c>
    </row>
    <row r="47" spans="1:7" ht="15" thickBot="1" x14ac:dyDescent="0.4">
      <c r="A47" s="171">
        <f>ROWS($A$6:A47)</f>
        <v>42</v>
      </c>
      <c r="B47" s="168" t="s">
        <v>25</v>
      </c>
      <c r="C47" s="168" t="s">
        <v>322</v>
      </c>
      <c r="D47" s="168" t="s">
        <v>134</v>
      </c>
      <c r="E47" s="168" t="s">
        <v>1282</v>
      </c>
      <c r="F47" s="168" t="s">
        <v>29</v>
      </c>
      <c r="G47" s="168" t="s">
        <v>283</v>
      </c>
    </row>
    <row r="48" spans="1:7" ht="15" thickBot="1" x14ac:dyDescent="0.4">
      <c r="A48" s="171">
        <f>ROWS($A$6:A48)</f>
        <v>43</v>
      </c>
      <c r="B48" s="168" t="s">
        <v>25</v>
      </c>
      <c r="C48" s="168" t="s">
        <v>323</v>
      </c>
      <c r="D48" s="168" t="s">
        <v>324</v>
      </c>
      <c r="E48" s="168" t="s">
        <v>1281</v>
      </c>
      <c r="F48" s="168" t="s">
        <v>35</v>
      </c>
      <c r="G48" s="168" t="s">
        <v>240</v>
      </c>
    </row>
    <row r="49" spans="1:7" ht="15" thickBot="1" x14ac:dyDescent="0.4">
      <c r="A49" s="171">
        <f>ROWS($A$6:A49)</f>
        <v>44</v>
      </c>
      <c r="B49" s="168" t="s">
        <v>25</v>
      </c>
      <c r="C49" s="168" t="s">
        <v>325</v>
      </c>
      <c r="D49" s="168" t="s">
        <v>326</v>
      </c>
      <c r="E49" s="168" t="s">
        <v>1281</v>
      </c>
      <c r="F49" s="168" t="s">
        <v>33</v>
      </c>
      <c r="G49" s="168" t="s">
        <v>257</v>
      </c>
    </row>
    <row r="50" spans="1:7" ht="15" thickBot="1" x14ac:dyDescent="0.4">
      <c r="A50" s="171">
        <f>ROWS($A$6:A50)</f>
        <v>45</v>
      </c>
      <c r="B50" s="168" t="s">
        <v>25</v>
      </c>
      <c r="C50" s="168" t="s">
        <v>327</v>
      </c>
      <c r="D50" s="168" t="s">
        <v>328</v>
      </c>
      <c r="E50" s="168" t="s">
        <v>1281</v>
      </c>
      <c r="F50" s="168" t="s">
        <v>33</v>
      </c>
      <c r="G50" s="168" t="s">
        <v>257</v>
      </c>
    </row>
    <row r="51" spans="1:7" ht="15" thickBot="1" x14ac:dyDescent="0.4">
      <c r="A51" s="171">
        <f>ROWS($A$6:A51)</f>
        <v>46</v>
      </c>
      <c r="B51" s="168" t="s">
        <v>25</v>
      </c>
      <c r="C51" s="168" t="s">
        <v>329</v>
      </c>
      <c r="D51" s="168" t="s">
        <v>330</v>
      </c>
      <c r="E51" s="168" t="s">
        <v>1281</v>
      </c>
      <c r="F51" s="168" t="s">
        <v>35</v>
      </c>
      <c r="G51" s="168" t="s">
        <v>240</v>
      </c>
    </row>
    <row r="52" spans="1:7" ht="15" thickBot="1" x14ac:dyDescent="0.4">
      <c r="A52" s="171">
        <f>ROWS($A$6:A52)</f>
        <v>47</v>
      </c>
      <c r="B52" s="168" t="s">
        <v>25</v>
      </c>
      <c r="C52" s="168" t="s">
        <v>331</v>
      </c>
      <c r="D52" s="168" t="s">
        <v>332</v>
      </c>
      <c r="E52" s="168" t="s">
        <v>1281</v>
      </c>
      <c r="F52" s="168" t="s">
        <v>35</v>
      </c>
      <c r="G52" s="168" t="s">
        <v>240</v>
      </c>
    </row>
    <row r="53" spans="1:7" ht="15" thickBot="1" x14ac:dyDescent="0.4">
      <c r="A53" s="171">
        <f>ROWS($A$6:A53)</f>
        <v>48</v>
      </c>
      <c r="B53" s="168" t="s">
        <v>25</v>
      </c>
      <c r="C53" s="168" t="s">
        <v>333</v>
      </c>
      <c r="D53" s="168" t="s">
        <v>334</v>
      </c>
      <c r="E53" s="168" t="s">
        <v>1281</v>
      </c>
      <c r="F53" s="168" t="s">
        <v>33</v>
      </c>
      <c r="G53" s="168" t="s">
        <v>257</v>
      </c>
    </row>
    <row r="54" spans="1:7" ht="15" thickBot="1" x14ac:dyDescent="0.4">
      <c r="A54" s="171">
        <f>ROWS($A$6:A54)</f>
        <v>49</v>
      </c>
      <c r="B54" s="168" t="s">
        <v>25</v>
      </c>
      <c r="C54" s="168" t="s">
        <v>335</v>
      </c>
      <c r="D54" s="168" t="s">
        <v>336</v>
      </c>
      <c r="E54" s="168" t="s">
        <v>1281</v>
      </c>
      <c r="F54" s="168" t="s">
        <v>35</v>
      </c>
      <c r="G54" s="168" t="s">
        <v>240</v>
      </c>
    </row>
    <row r="55" spans="1:7" ht="15" thickBot="1" x14ac:dyDescent="0.4">
      <c r="A55" s="171">
        <f>ROWS($A$6:A55)</f>
        <v>50</v>
      </c>
      <c r="B55" s="168" t="s">
        <v>25</v>
      </c>
      <c r="C55" s="168" t="s">
        <v>337</v>
      </c>
      <c r="D55" s="168" t="s">
        <v>338</v>
      </c>
      <c r="E55" s="168" t="s">
        <v>1281</v>
      </c>
      <c r="F55" s="168" t="s">
        <v>35</v>
      </c>
      <c r="G55" s="168" t="s">
        <v>240</v>
      </c>
    </row>
    <row r="56" spans="1:7" ht="15" thickBot="1" x14ac:dyDescent="0.4">
      <c r="A56" s="171">
        <f>ROWS($A$6:A56)</f>
        <v>51</v>
      </c>
      <c r="B56" s="168" t="s">
        <v>25</v>
      </c>
      <c r="C56" s="168" t="s">
        <v>339</v>
      </c>
      <c r="D56" s="168" t="s">
        <v>340</v>
      </c>
      <c r="E56" s="168" t="s">
        <v>1281</v>
      </c>
      <c r="F56" s="168" t="s">
        <v>31</v>
      </c>
      <c r="G56" s="168" t="s">
        <v>257</v>
      </c>
    </row>
    <row r="57" spans="1:7" ht="15" thickBot="1" x14ac:dyDescent="0.4">
      <c r="A57" s="171">
        <f>ROWS($A$6:A57)</f>
        <v>52</v>
      </c>
      <c r="B57" s="168" t="s">
        <v>25</v>
      </c>
      <c r="C57" s="168" t="s">
        <v>341</v>
      </c>
      <c r="D57" s="168" t="s">
        <v>342</v>
      </c>
      <c r="E57" s="168" t="s">
        <v>1281</v>
      </c>
      <c r="F57" s="168" t="s">
        <v>240</v>
      </c>
      <c r="G57" s="168" t="s">
        <v>240</v>
      </c>
    </row>
    <row r="58" spans="1:7" ht="15" thickBot="1" x14ac:dyDescent="0.4">
      <c r="A58" s="171">
        <f>ROWS($A$6:A58)</f>
        <v>53</v>
      </c>
      <c r="B58" s="168" t="s">
        <v>25</v>
      </c>
      <c r="C58" s="168" t="s">
        <v>343</v>
      </c>
      <c r="D58" s="168" t="s">
        <v>344</v>
      </c>
      <c r="E58" s="168" t="s">
        <v>1281</v>
      </c>
      <c r="F58" s="168" t="s">
        <v>35</v>
      </c>
      <c r="G58" s="168" t="s">
        <v>240</v>
      </c>
    </row>
    <row r="59" spans="1:7" ht="15" thickBot="1" x14ac:dyDescent="0.4">
      <c r="A59" s="171">
        <f>ROWS($A$6:A59)</f>
        <v>54</v>
      </c>
      <c r="B59" s="168" t="s">
        <v>25</v>
      </c>
      <c r="C59" s="168" t="s">
        <v>345</v>
      </c>
      <c r="D59" s="168" t="s">
        <v>346</v>
      </c>
      <c r="E59" s="168" t="s">
        <v>1281</v>
      </c>
      <c r="F59" s="168" t="s">
        <v>33</v>
      </c>
      <c r="G59" s="168" t="s">
        <v>257</v>
      </c>
    </row>
    <row r="60" spans="1:7" ht="15" thickBot="1" x14ac:dyDescent="0.4">
      <c r="A60" s="171">
        <f>ROWS($A$6:A60)</f>
        <v>55</v>
      </c>
      <c r="B60" s="168" t="s">
        <v>25</v>
      </c>
      <c r="C60" s="168" t="s">
        <v>347</v>
      </c>
      <c r="D60" s="168" t="s">
        <v>348</v>
      </c>
      <c r="E60" s="168" t="s">
        <v>1281</v>
      </c>
      <c r="F60" s="168" t="s">
        <v>35</v>
      </c>
      <c r="G60" s="168" t="s">
        <v>240</v>
      </c>
    </row>
    <row r="61" spans="1:7" ht="15" thickBot="1" x14ac:dyDescent="0.4">
      <c r="A61" s="171">
        <f>ROWS($A$6:A61)</f>
        <v>56</v>
      </c>
      <c r="B61" s="168" t="s">
        <v>25</v>
      </c>
      <c r="C61" s="168" t="s">
        <v>349</v>
      </c>
      <c r="D61" s="168" t="s">
        <v>350</v>
      </c>
      <c r="E61" s="168" t="s">
        <v>1281</v>
      </c>
      <c r="F61" s="168" t="s">
        <v>33</v>
      </c>
      <c r="G61" s="168" t="s">
        <v>257</v>
      </c>
    </row>
    <row r="62" spans="1:7" ht="15" thickBot="1" x14ac:dyDescent="0.4">
      <c r="A62" s="171">
        <f>ROWS($A$6:A62)</f>
        <v>57</v>
      </c>
      <c r="B62" s="168" t="s">
        <v>25</v>
      </c>
      <c r="C62" s="168" t="s">
        <v>351</v>
      </c>
      <c r="D62" s="168" t="s">
        <v>352</v>
      </c>
      <c r="E62" s="168" t="s">
        <v>1281</v>
      </c>
      <c r="F62" s="168" t="s">
        <v>35</v>
      </c>
      <c r="G62" s="168" t="s">
        <v>240</v>
      </c>
    </row>
    <row r="63" spans="1:7" ht="15" thickBot="1" x14ac:dyDescent="0.4">
      <c r="A63" s="171">
        <f>ROWS($A$6:A63)</f>
        <v>58</v>
      </c>
      <c r="B63" s="168" t="s">
        <v>25</v>
      </c>
      <c r="C63" s="168" t="s">
        <v>353</v>
      </c>
      <c r="D63" s="168" t="s">
        <v>354</v>
      </c>
      <c r="E63" s="168" t="s">
        <v>1281</v>
      </c>
      <c r="F63" s="168" t="s">
        <v>33</v>
      </c>
      <c r="G63" s="168" t="s">
        <v>257</v>
      </c>
    </row>
    <row r="64" spans="1:7" ht="15" thickBot="1" x14ac:dyDescent="0.4">
      <c r="A64" s="171">
        <f>ROWS($A$6:A64)</f>
        <v>59</v>
      </c>
      <c r="B64" s="168" t="s">
        <v>25</v>
      </c>
      <c r="C64" s="168" t="s">
        <v>355</v>
      </c>
      <c r="D64" s="168" t="s">
        <v>356</v>
      </c>
      <c r="E64" s="168" t="s">
        <v>1281</v>
      </c>
      <c r="F64" s="168" t="s">
        <v>35</v>
      </c>
      <c r="G64" s="168" t="s">
        <v>240</v>
      </c>
    </row>
    <row r="65" spans="1:7" ht="15" thickBot="1" x14ac:dyDescent="0.4">
      <c r="A65" s="171">
        <f>ROWS($A$6:A65)</f>
        <v>60</v>
      </c>
      <c r="B65" s="168" t="s">
        <v>25</v>
      </c>
      <c r="C65" s="168" t="s">
        <v>357</v>
      </c>
      <c r="D65" s="168" t="s">
        <v>358</v>
      </c>
      <c r="E65" s="168" t="s">
        <v>1281</v>
      </c>
      <c r="F65" s="168" t="s">
        <v>35</v>
      </c>
      <c r="G65" s="168" t="s">
        <v>240</v>
      </c>
    </row>
    <row r="66" spans="1:7" ht="15" thickBot="1" x14ac:dyDescent="0.4">
      <c r="A66" s="171">
        <f>ROWS($A$6:A66)</f>
        <v>61</v>
      </c>
      <c r="B66" s="168" t="s">
        <v>25</v>
      </c>
      <c r="C66" s="168" t="s">
        <v>359</v>
      </c>
      <c r="D66" s="168" t="s">
        <v>360</v>
      </c>
      <c r="E66" s="168" t="s">
        <v>1281</v>
      </c>
      <c r="F66" s="168" t="s">
        <v>33</v>
      </c>
      <c r="G66" s="168" t="s">
        <v>257</v>
      </c>
    </row>
    <row r="67" spans="1:7" ht="15" thickBot="1" x14ac:dyDescent="0.4">
      <c r="A67" s="171">
        <f>ROWS($A$6:A67)</f>
        <v>62</v>
      </c>
      <c r="B67" s="168" t="s">
        <v>25</v>
      </c>
      <c r="C67" s="168" t="s">
        <v>361</v>
      </c>
      <c r="D67" s="168" t="s">
        <v>362</v>
      </c>
      <c r="E67" s="168" t="s">
        <v>1281</v>
      </c>
      <c r="F67" s="168" t="s">
        <v>240</v>
      </c>
      <c r="G67" s="168" t="s">
        <v>240</v>
      </c>
    </row>
    <row r="68" spans="1:7" ht="15" thickBot="1" x14ac:dyDescent="0.4">
      <c r="A68" s="171">
        <f>ROWS($A$6:A68)</f>
        <v>63</v>
      </c>
      <c r="B68" s="168" t="s">
        <v>25</v>
      </c>
      <c r="C68" s="168" t="s">
        <v>364</v>
      </c>
      <c r="D68" s="168" t="s">
        <v>365</v>
      </c>
      <c r="E68" s="168" t="s">
        <v>1281</v>
      </c>
      <c r="F68" s="168" t="s">
        <v>240</v>
      </c>
      <c r="G68" s="168" t="s">
        <v>240</v>
      </c>
    </row>
    <row r="69" spans="1:7" ht="15" thickBot="1" x14ac:dyDescent="0.4">
      <c r="A69" s="171">
        <f>ROWS($A$6:A69)</f>
        <v>64</v>
      </c>
      <c r="B69" s="168" t="s">
        <v>25</v>
      </c>
      <c r="C69" s="168" t="s">
        <v>366</v>
      </c>
      <c r="D69" s="168" t="s">
        <v>367</v>
      </c>
      <c r="E69" s="168" t="s">
        <v>1281</v>
      </c>
      <c r="F69" s="168" t="s">
        <v>313</v>
      </c>
      <c r="G69" s="168" t="s">
        <v>257</v>
      </c>
    </row>
    <row r="70" spans="1:7" ht="15" thickBot="1" x14ac:dyDescent="0.4">
      <c r="A70" s="171">
        <f>ROWS($A$6:A70)</f>
        <v>65</v>
      </c>
      <c r="B70" s="168" t="s">
        <v>25</v>
      </c>
      <c r="C70" s="168" t="s">
        <v>369</v>
      </c>
      <c r="D70" s="168" t="s">
        <v>370</v>
      </c>
      <c r="E70" s="168" t="s">
        <v>1281</v>
      </c>
      <c r="F70" s="168" t="s">
        <v>313</v>
      </c>
      <c r="G70" s="168" t="s">
        <v>257</v>
      </c>
    </row>
    <row r="71" spans="1:7" ht="15" thickBot="1" x14ac:dyDescent="0.4">
      <c r="A71" s="171">
        <f>ROWS($A$6:A71)</f>
        <v>66</v>
      </c>
      <c r="B71" s="168" t="s">
        <v>25</v>
      </c>
      <c r="C71" s="168" t="s">
        <v>371</v>
      </c>
      <c r="D71" s="168" t="s">
        <v>372</v>
      </c>
      <c r="E71" s="168" t="s">
        <v>1281</v>
      </c>
      <c r="F71" s="168" t="s">
        <v>29</v>
      </c>
      <c r="G71" s="168" t="s">
        <v>283</v>
      </c>
    </row>
    <row r="72" spans="1:7" ht="15" thickBot="1" x14ac:dyDescent="0.4">
      <c r="A72" s="171">
        <f>ROWS($A$6:A72)</f>
        <v>67</v>
      </c>
      <c r="B72" s="168" t="s">
        <v>25</v>
      </c>
      <c r="C72" s="168" t="s">
        <v>373</v>
      </c>
      <c r="D72" s="168" t="s">
        <v>374</v>
      </c>
      <c r="E72" s="168" t="s">
        <v>1281</v>
      </c>
      <c r="F72" s="168" t="s">
        <v>35</v>
      </c>
      <c r="G72" s="168" t="s">
        <v>240</v>
      </c>
    </row>
    <row r="73" spans="1:7" ht="15" thickBot="1" x14ac:dyDescent="0.4">
      <c r="A73" s="171">
        <f>ROWS($A$6:A73)</f>
        <v>68</v>
      </c>
      <c r="B73" s="168" t="s">
        <v>25</v>
      </c>
      <c r="C73" s="168" t="s">
        <v>375</v>
      </c>
      <c r="D73" s="168" t="s">
        <v>376</v>
      </c>
      <c r="E73" s="168" t="s">
        <v>1281</v>
      </c>
      <c r="F73" s="168" t="s">
        <v>313</v>
      </c>
      <c r="G73" s="168" t="s">
        <v>257</v>
      </c>
    </row>
    <row r="74" spans="1:7" ht="15" thickBot="1" x14ac:dyDescent="0.4">
      <c r="A74" s="171">
        <f>ROWS($A$6:A74)</f>
        <v>69</v>
      </c>
      <c r="B74" s="168" t="s">
        <v>25</v>
      </c>
      <c r="C74" s="168" t="s">
        <v>377</v>
      </c>
      <c r="D74" s="168" t="s">
        <v>378</v>
      </c>
      <c r="E74" s="168" t="s">
        <v>1281</v>
      </c>
      <c r="F74" s="168" t="s">
        <v>240</v>
      </c>
      <c r="G74" s="168" t="s">
        <v>240</v>
      </c>
    </row>
    <row r="75" spans="1:7" ht="15" thickBot="1" x14ac:dyDescent="0.4">
      <c r="A75" s="171">
        <f>ROWS($A$6:A75)</f>
        <v>70</v>
      </c>
      <c r="B75" s="168" t="s">
        <v>25</v>
      </c>
      <c r="C75" s="168" t="s">
        <v>379</v>
      </c>
      <c r="D75" s="168" t="s">
        <v>380</v>
      </c>
      <c r="E75" s="168" t="s">
        <v>1281</v>
      </c>
      <c r="F75" s="168" t="s">
        <v>35</v>
      </c>
      <c r="G75" s="168" t="s">
        <v>240</v>
      </c>
    </row>
    <row r="76" spans="1:7" ht="15" thickBot="1" x14ac:dyDescent="0.4">
      <c r="A76" s="171">
        <f>ROWS($A$6:A76)</f>
        <v>71</v>
      </c>
      <c r="B76" s="168" t="s">
        <v>25</v>
      </c>
      <c r="C76" s="168" t="s">
        <v>381</v>
      </c>
      <c r="D76" s="168" t="s">
        <v>382</v>
      </c>
      <c r="E76" s="168" t="s">
        <v>1281</v>
      </c>
      <c r="F76" s="168" t="s">
        <v>34</v>
      </c>
      <c r="G76" s="168" t="s">
        <v>283</v>
      </c>
    </row>
    <row r="77" spans="1:7" ht="15" thickBot="1" x14ac:dyDescent="0.4">
      <c r="A77" s="171">
        <f>ROWS($A$6:A77)</f>
        <v>72</v>
      </c>
      <c r="B77" s="168" t="s">
        <v>25</v>
      </c>
      <c r="C77" s="168" t="s">
        <v>383</v>
      </c>
      <c r="D77" s="168" t="s">
        <v>230</v>
      </c>
      <c r="E77" s="168" t="s">
        <v>1282</v>
      </c>
      <c r="F77" s="168" t="s">
        <v>34</v>
      </c>
      <c r="G77" s="168" t="s">
        <v>283</v>
      </c>
    </row>
    <row r="78" spans="1:7" ht="15" thickBot="1" x14ac:dyDescent="0.4">
      <c r="A78" s="171">
        <f>ROWS($A$6:A78)</f>
        <v>73</v>
      </c>
      <c r="B78" s="168" t="s">
        <v>25</v>
      </c>
      <c r="C78" s="168" t="s">
        <v>384</v>
      </c>
      <c r="D78" s="168" t="s">
        <v>385</v>
      </c>
      <c r="E78" s="168" t="s">
        <v>1281</v>
      </c>
      <c r="F78" s="168" t="s">
        <v>34</v>
      </c>
      <c r="G78" s="168" t="s">
        <v>283</v>
      </c>
    </row>
    <row r="79" spans="1:7" ht="15" thickBot="1" x14ac:dyDescent="0.4">
      <c r="A79" s="171">
        <f>ROWS($A$6:A79)</f>
        <v>74</v>
      </c>
      <c r="B79" s="168" t="s">
        <v>25</v>
      </c>
      <c r="C79" s="168" t="s">
        <v>386</v>
      </c>
      <c r="D79" s="168" t="s">
        <v>387</v>
      </c>
      <c r="E79" s="168" t="s">
        <v>1281</v>
      </c>
      <c r="F79" s="168" t="s">
        <v>388</v>
      </c>
      <c r="G79" s="168" t="s">
        <v>389</v>
      </c>
    </row>
    <row r="80" spans="1:7" ht="15" thickBot="1" x14ac:dyDescent="0.4">
      <c r="A80" s="171">
        <f>ROWS($A$6:A80)</f>
        <v>75</v>
      </c>
      <c r="B80" s="168" t="s">
        <v>25</v>
      </c>
      <c r="C80" s="168" t="s">
        <v>390</v>
      </c>
      <c r="D80" s="168" t="s">
        <v>391</v>
      </c>
      <c r="E80" s="168" t="s">
        <v>1281</v>
      </c>
      <c r="F80" s="168" t="s">
        <v>33</v>
      </c>
      <c r="G80" s="168" t="s">
        <v>257</v>
      </c>
    </row>
    <row r="81" spans="1:7" ht="15" thickBot="1" x14ac:dyDescent="0.4">
      <c r="A81" s="171">
        <f>ROWS($A$6:A81)</f>
        <v>76</v>
      </c>
      <c r="B81" s="168" t="s">
        <v>25</v>
      </c>
      <c r="C81" s="168" t="s">
        <v>392</v>
      </c>
      <c r="D81" s="168" t="s">
        <v>393</v>
      </c>
      <c r="E81" s="168" t="s">
        <v>1281</v>
      </c>
      <c r="F81" s="168" t="s">
        <v>34</v>
      </c>
      <c r="G81" s="168" t="s">
        <v>283</v>
      </c>
    </row>
    <row r="82" spans="1:7" ht="15" thickBot="1" x14ac:dyDescent="0.4">
      <c r="A82" s="171">
        <f>ROWS($A$6:A82)</f>
        <v>77</v>
      </c>
      <c r="B82" s="168" t="s">
        <v>25</v>
      </c>
      <c r="C82" s="168" t="s">
        <v>394</v>
      </c>
      <c r="D82" s="168" t="s">
        <v>395</v>
      </c>
      <c r="E82" s="168" t="s">
        <v>1281</v>
      </c>
      <c r="F82" s="168" t="s">
        <v>33</v>
      </c>
      <c r="G82" s="168" t="s">
        <v>257</v>
      </c>
    </row>
    <row r="83" spans="1:7" ht="15" thickBot="1" x14ac:dyDescent="0.4">
      <c r="A83" s="171">
        <f>ROWS($A$6:A83)</f>
        <v>78</v>
      </c>
      <c r="B83" s="168" t="s">
        <v>25</v>
      </c>
      <c r="C83" s="168" t="s">
        <v>396</v>
      </c>
      <c r="D83" s="168" t="s">
        <v>397</v>
      </c>
      <c r="E83" s="168" t="s">
        <v>1281</v>
      </c>
      <c r="F83" s="168" t="s">
        <v>33</v>
      </c>
      <c r="G83" s="168" t="s">
        <v>257</v>
      </c>
    </row>
    <row r="84" spans="1:7" ht="15" thickBot="1" x14ac:dyDescent="0.4">
      <c r="A84" s="171">
        <f>ROWS($A$6:A84)</f>
        <v>79</v>
      </c>
      <c r="B84" s="168" t="s">
        <v>25</v>
      </c>
      <c r="C84" s="168" t="s">
        <v>398</v>
      </c>
      <c r="D84" s="168" t="s">
        <v>399</v>
      </c>
      <c r="E84" s="168" t="s">
        <v>1281</v>
      </c>
      <c r="F84" s="168" t="s">
        <v>34</v>
      </c>
      <c r="G84" s="168" t="s">
        <v>283</v>
      </c>
    </row>
    <row r="85" spans="1:7" ht="15" thickBot="1" x14ac:dyDescent="0.4">
      <c r="A85" s="171">
        <f>ROWS($A$6:A85)</f>
        <v>80</v>
      </c>
      <c r="B85" s="168" t="s">
        <v>25</v>
      </c>
      <c r="C85" s="168" t="s">
        <v>400</v>
      </c>
      <c r="D85" s="168" t="s">
        <v>401</v>
      </c>
      <c r="E85" s="168" t="s">
        <v>1281</v>
      </c>
      <c r="F85" s="168" t="s">
        <v>35</v>
      </c>
      <c r="G85" s="168" t="s">
        <v>240</v>
      </c>
    </row>
    <row r="86" spans="1:7" ht="15" thickBot="1" x14ac:dyDescent="0.4">
      <c r="A86" s="171">
        <f>ROWS($A$6:A86)</f>
        <v>81</v>
      </c>
      <c r="B86" s="168" t="s">
        <v>25</v>
      </c>
      <c r="C86" s="168" t="s">
        <v>402</v>
      </c>
      <c r="D86" s="168" t="s">
        <v>403</v>
      </c>
      <c r="E86" s="168" t="s">
        <v>1281</v>
      </c>
      <c r="F86" s="168" t="s">
        <v>35</v>
      </c>
      <c r="G86" s="168" t="s">
        <v>240</v>
      </c>
    </row>
    <row r="87" spans="1:7" ht="15" thickBot="1" x14ac:dyDescent="0.4">
      <c r="A87" s="171">
        <f>ROWS($A$6:A87)</f>
        <v>82</v>
      </c>
      <c r="B87" s="168" t="s">
        <v>25</v>
      </c>
      <c r="C87" s="168" t="s">
        <v>404</v>
      </c>
      <c r="D87" s="168" t="s">
        <v>405</v>
      </c>
      <c r="E87" s="168" t="s">
        <v>1281</v>
      </c>
      <c r="F87" s="168" t="s">
        <v>34</v>
      </c>
      <c r="G87" s="168" t="s">
        <v>283</v>
      </c>
    </row>
    <row r="88" spans="1:7" ht="15" thickBot="1" x14ac:dyDescent="0.4">
      <c r="A88" s="171">
        <f>ROWS($A$6:A88)</f>
        <v>83</v>
      </c>
      <c r="B88" s="168" t="s">
        <v>25</v>
      </c>
      <c r="C88" s="168" t="s">
        <v>406</v>
      </c>
      <c r="D88" s="168" t="s">
        <v>407</v>
      </c>
      <c r="E88" s="168" t="s">
        <v>1281</v>
      </c>
      <c r="F88" s="168" t="s">
        <v>29</v>
      </c>
      <c r="G88" s="168" t="s">
        <v>283</v>
      </c>
    </row>
    <row r="89" spans="1:7" ht="15" thickBot="1" x14ac:dyDescent="0.4">
      <c r="A89" s="171">
        <f>ROWS($A$6:A89)</f>
        <v>84</v>
      </c>
      <c r="B89" s="168" t="s">
        <v>25</v>
      </c>
      <c r="C89" s="168" t="s">
        <v>408</v>
      </c>
      <c r="D89" s="168" t="s">
        <v>409</v>
      </c>
      <c r="E89" s="168" t="s">
        <v>1281</v>
      </c>
      <c r="F89" s="168" t="s">
        <v>34</v>
      </c>
      <c r="G89" s="168" t="s">
        <v>283</v>
      </c>
    </row>
    <row r="90" spans="1:7" ht="15" thickBot="1" x14ac:dyDescent="0.4">
      <c r="A90" s="171">
        <f>ROWS($A$6:A90)</f>
        <v>85</v>
      </c>
      <c r="B90" s="168" t="s">
        <v>25</v>
      </c>
      <c r="C90" s="168" t="s">
        <v>410</v>
      </c>
      <c r="D90" s="168" t="s">
        <v>411</v>
      </c>
      <c r="E90" s="168" t="s">
        <v>1281</v>
      </c>
      <c r="F90" s="168" t="s">
        <v>35</v>
      </c>
      <c r="G90" s="168" t="s">
        <v>240</v>
      </c>
    </row>
    <row r="91" spans="1:7" ht="15" thickBot="1" x14ac:dyDescent="0.4">
      <c r="A91" s="171">
        <f>ROWS($A$6:A91)</f>
        <v>86</v>
      </c>
      <c r="B91" s="168" t="s">
        <v>25</v>
      </c>
      <c r="C91" s="168" t="s">
        <v>412</v>
      </c>
      <c r="D91" s="168" t="s">
        <v>413</v>
      </c>
      <c r="E91" s="168" t="s">
        <v>1281</v>
      </c>
      <c r="F91" s="168" t="s">
        <v>35</v>
      </c>
      <c r="G91" s="168" t="s">
        <v>240</v>
      </c>
    </row>
    <row r="92" spans="1:7" ht="15" thickBot="1" x14ac:dyDescent="0.4">
      <c r="A92" s="171">
        <f>ROWS($A$6:A92)</f>
        <v>87</v>
      </c>
      <c r="B92" s="168" t="s">
        <v>25</v>
      </c>
      <c r="C92" s="168" t="s">
        <v>414</v>
      </c>
      <c r="D92" s="168" t="s">
        <v>415</v>
      </c>
      <c r="E92" s="168" t="s">
        <v>1281</v>
      </c>
      <c r="F92" s="168" t="s">
        <v>33</v>
      </c>
      <c r="G92" s="168" t="s">
        <v>257</v>
      </c>
    </row>
    <row r="93" spans="1:7" ht="15" thickBot="1" x14ac:dyDescent="0.4">
      <c r="A93" s="171">
        <f>ROWS($A$6:A93)</f>
        <v>88</v>
      </c>
      <c r="B93" s="168" t="s">
        <v>25</v>
      </c>
      <c r="C93" s="168" t="s">
        <v>416</v>
      </c>
      <c r="D93" s="168" t="s">
        <v>417</v>
      </c>
      <c r="E93" s="168" t="s">
        <v>1281</v>
      </c>
      <c r="F93" s="168" t="s">
        <v>35</v>
      </c>
      <c r="G93" s="168" t="s">
        <v>240</v>
      </c>
    </row>
    <row r="94" spans="1:7" ht="15" thickBot="1" x14ac:dyDescent="0.4">
      <c r="A94" s="171">
        <f>ROWS($A$6:A94)</f>
        <v>89</v>
      </c>
      <c r="B94" s="168" t="s">
        <v>25</v>
      </c>
      <c r="C94" s="168" t="s">
        <v>418</v>
      </c>
      <c r="D94" s="168" t="s">
        <v>419</v>
      </c>
      <c r="E94" s="168" t="s">
        <v>1281</v>
      </c>
      <c r="F94" s="168" t="s">
        <v>33</v>
      </c>
      <c r="G94" s="168" t="s">
        <v>257</v>
      </c>
    </row>
    <row r="95" spans="1:7" ht="15" thickBot="1" x14ac:dyDescent="0.4">
      <c r="A95" s="171">
        <f>ROWS($A$6:A95)</f>
        <v>90</v>
      </c>
      <c r="B95" s="168" t="s">
        <v>25</v>
      </c>
      <c r="C95" s="168" t="s">
        <v>420</v>
      </c>
      <c r="D95" s="168" t="s">
        <v>421</v>
      </c>
      <c r="E95" s="168" t="s">
        <v>1281</v>
      </c>
      <c r="F95" s="168" t="s">
        <v>33</v>
      </c>
      <c r="G95" s="168" t="s">
        <v>257</v>
      </c>
    </row>
    <row r="96" spans="1:7" ht="15" thickBot="1" x14ac:dyDescent="0.4">
      <c r="A96" s="171">
        <f>ROWS($A$6:A96)</f>
        <v>91</v>
      </c>
      <c r="B96" s="168" t="s">
        <v>25</v>
      </c>
      <c r="C96" s="168" t="s">
        <v>422</v>
      </c>
      <c r="D96" s="168" t="s">
        <v>132</v>
      </c>
      <c r="E96" s="168" t="s">
        <v>1282</v>
      </c>
      <c r="F96" s="168" t="s">
        <v>31</v>
      </c>
      <c r="G96" s="168" t="s">
        <v>257</v>
      </c>
    </row>
    <row r="97" spans="1:7" ht="15" thickBot="1" x14ac:dyDescent="0.4">
      <c r="A97" s="171">
        <f>ROWS($A$6:A97)</f>
        <v>92</v>
      </c>
      <c r="B97" s="168" t="s">
        <v>25</v>
      </c>
      <c r="C97" s="168" t="s">
        <v>423</v>
      </c>
      <c r="D97" s="168" t="s">
        <v>424</v>
      </c>
      <c r="E97" s="168" t="s">
        <v>1281</v>
      </c>
      <c r="F97" s="168" t="s">
        <v>240</v>
      </c>
      <c r="G97" s="168" t="s">
        <v>240</v>
      </c>
    </row>
    <row r="98" spans="1:7" ht="15" thickBot="1" x14ac:dyDescent="0.4">
      <c r="A98" s="171">
        <f>ROWS($A$6:A98)</f>
        <v>93</v>
      </c>
      <c r="B98" s="168" t="s">
        <v>25</v>
      </c>
      <c r="C98" s="168" t="s">
        <v>425</v>
      </c>
      <c r="D98" s="168" t="s">
        <v>426</v>
      </c>
      <c r="E98" s="168" t="s">
        <v>1281</v>
      </c>
      <c r="F98" s="168" t="s">
        <v>35</v>
      </c>
      <c r="G98" s="168" t="s">
        <v>240</v>
      </c>
    </row>
    <row r="99" spans="1:7" ht="15" thickBot="1" x14ac:dyDescent="0.4">
      <c r="A99" s="171">
        <f>ROWS($A$6:A99)</f>
        <v>94</v>
      </c>
      <c r="B99" s="168" t="s">
        <v>25</v>
      </c>
      <c r="C99" s="168" t="s">
        <v>427</v>
      </c>
      <c r="D99" s="168" t="s">
        <v>428</v>
      </c>
      <c r="E99" s="168" t="s">
        <v>1281</v>
      </c>
      <c r="F99" s="168" t="s">
        <v>35</v>
      </c>
      <c r="G99" s="168" t="s">
        <v>240</v>
      </c>
    </row>
    <row r="100" spans="1:7" ht="15" thickBot="1" x14ac:dyDescent="0.4">
      <c r="A100" s="171">
        <f>ROWS($A$6:A100)</f>
        <v>95</v>
      </c>
      <c r="B100" s="168" t="s">
        <v>25</v>
      </c>
      <c r="C100" s="168" t="s">
        <v>429</v>
      </c>
      <c r="D100" s="168" t="s">
        <v>430</v>
      </c>
      <c r="E100" s="168" t="s">
        <v>1281</v>
      </c>
      <c r="F100" s="168" t="s">
        <v>35</v>
      </c>
      <c r="G100" s="168" t="s">
        <v>240</v>
      </c>
    </row>
    <row r="101" spans="1:7" ht="15" thickBot="1" x14ac:dyDescent="0.4">
      <c r="A101" s="171">
        <f>ROWS($A$6:A101)</f>
        <v>96</v>
      </c>
      <c r="B101" s="168" t="s">
        <v>25</v>
      </c>
      <c r="C101" s="168" t="s">
        <v>431</v>
      </c>
      <c r="D101" s="168" t="s">
        <v>432</v>
      </c>
      <c r="E101" s="168" t="s">
        <v>1281</v>
      </c>
      <c r="F101" s="168" t="s">
        <v>34</v>
      </c>
      <c r="G101" s="168" t="s">
        <v>283</v>
      </c>
    </row>
    <row r="102" spans="1:7" ht="15" thickBot="1" x14ac:dyDescent="0.4">
      <c r="A102" s="171">
        <f>ROWS($A$6:A102)</f>
        <v>97</v>
      </c>
      <c r="B102" s="168" t="s">
        <v>25</v>
      </c>
      <c r="C102" s="168" t="s">
        <v>433</v>
      </c>
      <c r="D102" s="168" t="s">
        <v>434</v>
      </c>
      <c r="E102" s="168" t="s">
        <v>1281</v>
      </c>
      <c r="F102" s="168" t="s">
        <v>313</v>
      </c>
      <c r="G102" s="168" t="s">
        <v>257</v>
      </c>
    </row>
    <row r="103" spans="1:7" ht="15" thickBot="1" x14ac:dyDescent="0.4">
      <c r="A103" s="171">
        <f>ROWS($A$6:A103)</f>
        <v>98</v>
      </c>
      <c r="B103" s="168" t="s">
        <v>25</v>
      </c>
      <c r="C103" s="168" t="s">
        <v>435</v>
      </c>
      <c r="D103" s="168" t="s">
        <v>436</v>
      </c>
      <c r="E103" s="168" t="s">
        <v>1281</v>
      </c>
      <c r="F103" s="168" t="s">
        <v>35</v>
      </c>
      <c r="G103" s="168" t="s">
        <v>240</v>
      </c>
    </row>
    <row r="104" spans="1:7" ht="15" thickBot="1" x14ac:dyDescent="0.4">
      <c r="A104" s="171">
        <f>ROWS($A$6:A104)</f>
        <v>99</v>
      </c>
      <c r="B104" s="168" t="s">
        <v>25</v>
      </c>
      <c r="C104" s="168" t="s">
        <v>437</v>
      </c>
      <c r="D104" s="168" t="s">
        <v>438</v>
      </c>
      <c r="E104" s="168" t="s">
        <v>1282</v>
      </c>
      <c r="F104" s="168" t="s">
        <v>29</v>
      </c>
      <c r="G104" s="168" t="s">
        <v>283</v>
      </c>
    </row>
    <row r="105" spans="1:7" ht="15" thickBot="1" x14ac:dyDescent="0.4">
      <c r="A105" s="171">
        <f>ROWS($A$6:A105)</f>
        <v>100</v>
      </c>
      <c r="B105" s="168" t="s">
        <v>25</v>
      </c>
      <c r="C105" s="168" t="s">
        <v>439</v>
      </c>
      <c r="D105" s="168" t="s">
        <v>440</v>
      </c>
      <c r="E105" s="168" t="s">
        <v>1281</v>
      </c>
      <c r="F105" s="168" t="s">
        <v>35</v>
      </c>
      <c r="G105" s="168" t="s">
        <v>240</v>
      </c>
    </row>
    <row r="106" spans="1:7" ht="15" thickBot="1" x14ac:dyDescent="0.4">
      <c r="A106" s="171">
        <f>ROWS($A$6:A106)</f>
        <v>101</v>
      </c>
      <c r="B106" s="168" t="s">
        <v>25</v>
      </c>
      <c r="C106" s="168" t="s">
        <v>441</v>
      </c>
      <c r="D106" s="168" t="s">
        <v>442</v>
      </c>
      <c r="E106" s="168" t="s">
        <v>1281</v>
      </c>
      <c r="F106" s="168" t="s">
        <v>33</v>
      </c>
      <c r="G106" s="168" t="s">
        <v>257</v>
      </c>
    </row>
    <row r="107" spans="1:7" ht="15" thickBot="1" x14ac:dyDescent="0.4">
      <c r="A107" s="171">
        <f>ROWS($A$6:A107)</f>
        <v>102</v>
      </c>
      <c r="B107" s="168" t="s">
        <v>25</v>
      </c>
      <c r="C107" s="168" t="s">
        <v>443</v>
      </c>
      <c r="D107" s="168" t="s">
        <v>444</v>
      </c>
      <c r="E107" s="168" t="s">
        <v>1281</v>
      </c>
      <c r="F107" s="168" t="s">
        <v>30</v>
      </c>
      <c r="G107" s="168" t="s">
        <v>283</v>
      </c>
    </row>
    <row r="108" spans="1:7" ht="15" thickBot="1" x14ac:dyDescent="0.4">
      <c r="A108" s="171">
        <f>ROWS($A$6:A108)</f>
        <v>103</v>
      </c>
      <c r="B108" s="168" t="s">
        <v>25</v>
      </c>
      <c r="C108" s="168" t="s">
        <v>445</v>
      </c>
      <c r="D108" s="168" t="s">
        <v>446</v>
      </c>
      <c r="E108" s="168" t="s">
        <v>1281</v>
      </c>
      <c r="F108" s="168" t="s">
        <v>35</v>
      </c>
      <c r="G108" s="168" t="s">
        <v>240</v>
      </c>
    </row>
    <row r="109" spans="1:7" ht="15" thickBot="1" x14ac:dyDescent="0.4">
      <c r="A109" s="171">
        <f>ROWS($A$6:A109)</f>
        <v>104</v>
      </c>
      <c r="B109" s="168" t="s">
        <v>25</v>
      </c>
      <c r="C109" s="168" t="s">
        <v>447</v>
      </c>
      <c r="D109" s="168" t="s">
        <v>448</v>
      </c>
      <c r="E109" s="168" t="s">
        <v>1281</v>
      </c>
      <c r="F109" s="168" t="s">
        <v>34</v>
      </c>
      <c r="G109" s="168" t="s">
        <v>283</v>
      </c>
    </row>
    <row r="110" spans="1:7" ht="15" thickBot="1" x14ac:dyDescent="0.4">
      <c r="A110" s="171">
        <f>ROWS($A$6:A110)</f>
        <v>105</v>
      </c>
      <c r="B110" s="168" t="s">
        <v>25</v>
      </c>
      <c r="C110" s="168" t="s">
        <v>449</v>
      </c>
      <c r="D110" s="168" t="s">
        <v>134</v>
      </c>
      <c r="E110" s="168" t="s">
        <v>1282</v>
      </c>
      <c r="F110" s="168" t="s">
        <v>29</v>
      </c>
      <c r="G110" s="168" t="s">
        <v>283</v>
      </c>
    </row>
    <row r="111" spans="1:7" ht="15" thickBot="1" x14ac:dyDescent="0.4">
      <c r="A111" s="171">
        <f>ROWS($A$6:A111)</f>
        <v>106</v>
      </c>
      <c r="B111" s="168" t="s">
        <v>25</v>
      </c>
      <c r="C111" s="168" t="s">
        <v>450</v>
      </c>
      <c r="D111" s="168" t="s">
        <v>451</v>
      </c>
      <c r="E111" s="168" t="s">
        <v>1281</v>
      </c>
      <c r="F111" s="168" t="s">
        <v>29</v>
      </c>
      <c r="G111" s="168" t="s">
        <v>283</v>
      </c>
    </row>
    <row r="112" spans="1:7" ht="15" thickBot="1" x14ac:dyDescent="0.4">
      <c r="A112" s="171">
        <f>ROWS($A$6:A112)</f>
        <v>107</v>
      </c>
      <c r="B112" s="168" t="s">
        <v>25</v>
      </c>
      <c r="C112" s="168" t="s">
        <v>368</v>
      </c>
      <c r="D112" s="168" t="s">
        <v>452</v>
      </c>
      <c r="E112" s="168" t="s">
        <v>1281</v>
      </c>
      <c r="F112" s="168" t="s">
        <v>29</v>
      </c>
      <c r="G112" s="168" t="s">
        <v>283</v>
      </c>
    </row>
    <row r="113" spans="1:7" ht="15" thickBot="1" x14ac:dyDescent="0.4">
      <c r="A113" s="171">
        <f>ROWS($A$6:A113)</f>
        <v>108</v>
      </c>
      <c r="B113" s="168" t="s">
        <v>25</v>
      </c>
      <c r="C113" s="168" t="s">
        <v>453</v>
      </c>
      <c r="D113" s="168" t="s">
        <v>454</v>
      </c>
      <c r="E113" s="168" t="s">
        <v>1281</v>
      </c>
      <c r="F113" s="168" t="s">
        <v>30</v>
      </c>
      <c r="G113" s="168" t="s">
        <v>283</v>
      </c>
    </row>
    <row r="114" spans="1:7" ht="15" thickBot="1" x14ac:dyDescent="0.4">
      <c r="A114" s="171">
        <f>ROWS($A$6:A114)</f>
        <v>109</v>
      </c>
      <c r="B114" s="168" t="s">
        <v>25</v>
      </c>
      <c r="C114" s="168" t="s">
        <v>455</v>
      </c>
      <c r="D114" s="168" t="s">
        <v>456</v>
      </c>
      <c r="E114" s="168" t="s">
        <v>1281</v>
      </c>
      <c r="F114" s="168" t="s">
        <v>34</v>
      </c>
      <c r="G114" s="168" t="s">
        <v>283</v>
      </c>
    </row>
    <row r="115" spans="1:7" ht="15" thickBot="1" x14ac:dyDescent="0.4">
      <c r="A115" s="171">
        <f>ROWS($A$6:A115)</f>
        <v>110</v>
      </c>
      <c r="B115" s="168" t="s">
        <v>25</v>
      </c>
      <c r="C115" s="168" t="s">
        <v>457</v>
      </c>
      <c r="D115" s="168" t="s">
        <v>458</v>
      </c>
      <c r="E115" s="168" t="s">
        <v>1281</v>
      </c>
      <c r="F115" s="168" t="s">
        <v>35</v>
      </c>
      <c r="G115" s="168" t="s">
        <v>240</v>
      </c>
    </row>
    <row r="116" spans="1:7" ht="15" thickBot="1" x14ac:dyDescent="0.4">
      <c r="A116" s="171">
        <f>ROWS($A$6:A116)</f>
        <v>111</v>
      </c>
      <c r="B116" s="168" t="s">
        <v>25</v>
      </c>
      <c r="C116" s="168" t="s">
        <v>459</v>
      </c>
      <c r="D116" s="168" t="s">
        <v>460</v>
      </c>
      <c r="E116" s="168" t="s">
        <v>1281</v>
      </c>
      <c r="F116" s="168" t="s">
        <v>240</v>
      </c>
      <c r="G116" s="168" t="s">
        <v>240</v>
      </c>
    </row>
    <row r="117" spans="1:7" ht="15" thickBot="1" x14ac:dyDescent="0.4">
      <c r="A117" s="171">
        <f>ROWS($A$6:A117)</f>
        <v>112</v>
      </c>
      <c r="B117" s="168" t="s">
        <v>25</v>
      </c>
      <c r="C117" s="168" t="s">
        <v>461</v>
      </c>
      <c r="D117" s="168" t="s">
        <v>462</v>
      </c>
      <c r="E117" s="168" t="s">
        <v>1281</v>
      </c>
      <c r="F117" s="168" t="s">
        <v>240</v>
      </c>
      <c r="G117" s="168" t="s">
        <v>240</v>
      </c>
    </row>
    <row r="118" spans="1:7" ht="15" thickBot="1" x14ac:dyDescent="0.4">
      <c r="A118" s="171">
        <f>ROWS($A$6:A118)</f>
        <v>113</v>
      </c>
      <c r="B118" s="168" t="s">
        <v>25</v>
      </c>
      <c r="C118" s="168" t="s">
        <v>463</v>
      </c>
      <c r="D118" s="168" t="s">
        <v>464</v>
      </c>
      <c r="E118" s="168" t="s">
        <v>1281</v>
      </c>
      <c r="F118" s="168" t="s">
        <v>240</v>
      </c>
      <c r="G118" s="168" t="s">
        <v>240</v>
      </c>
    </row>
    <row r="119" spans="1:7" ht="15" thickBot="1" x14ac:dyDescent="0.4">
      <c r="A119" s="171">
        <f>ROWS($A$6:A119)</f>
        <v>114</v>
      </c>
      <c r="B119" s="168" t="s">
        <v>25</v>
      </c>
      <c r="C119" s="168" t="s">
        <v>465</v>
      </c>
      <c r="D119" s="168" t="s">
        <v>466</v>
      </c>
      <c r="E119" s="168" t="s">
        <v>1281</v>
      </c>
      <c r="F119" s="168" t="s">
        <v>29</v>
      </c>
      <c r="G119" s="168" t="s">
        <v>283</v>
      </c>
    </row>
    <row r="120" spans="1:7" ht="15" thickBot="1" x14ac:dyDescent="0.4">
      <c r="A120" s="171">
        <f>ROWS($A$6:A120)</f>
        <v>115</v>
      </c>
      <c r="B120" s="168" t="s">
        <v>25</v>
      </c>
      <c r="C120" s="168" t="s">
        <v>467</v>
      </c>
      <c r="D120" s="168" t="s">
        <v>468</v>
      </c>
      <c r="E120" s="168" t="s">
        <v>1281</v>
      </c>
      <c r="F120" s="168" t="s">
        <v>35</v>
      </c>
      <c r="G120" s="168" t="s">
        <v>240</v>
      </c>
    </row>
    <row r="121" spans="1:7" ht="15" thickBot="1" x14ac:dyDescent="0.4">
      <c r="A121" s="171">
        <f>ROWS($A$6:A121)</f>
        <v>116</v>
      </c>
      <c r="B121" s="168" t="s">
        <v>25</v>
      </c>
      <c r="C121" s="168" t="s">
        <v>469</v>
      </c>
      <c r="D121" s="168" t="s">
        <v>470</v>
      </c>
      <c r="E121" s="168" t="s">
        <v>1281</v>
      </c>
      <c r="F121" s="168" t="s">
        <v>35</v>
      </c>
      <c r="G121" s="168" t="s">
        <v>240</v>
      </c>
    </row>
    <row r="122" spans="1:7" ht="15" thickBot="1" x14ac:dyDescent="0.4">
      <c r="A122" s="171">
        <f>ROWS($A$6:A122)</f>
        <v>117</v>
      </c>
      <c r="B122" s="168" t="s">
        <v>25</v>
      </c>
      <c r="C122" s="168" t="s">
        <v>471</v>
      </c>
      <c r="D122" s="168" t="s">
        <v>472</v>
      </c>
      <c r="E122" s="168" t="s">
        <v>1281</v>
      </c>
      <c r="F122" s="168" t="s">
        <v>33</v>
      </c>
      <c r="G122" s="168" t="s">
        <v>257</v>
      </c>
    </row>
    <row r="123" spans="1:7" ht="15" thickBot="1" x14ac:dyDescent="0.4">
      <c r="A123" s="171">
        <f>ROWS($A$6:A123)</f>
        <v>118</v>
      </c>
      <c r="B123" s="168" t="s">
        <v>25</v>
      </c>
      <c r="C123" s="168" t="s">
        <v>473</v>
      </c>
      <c r="D123" s="168" t="s">
        <v>474</v>
      </c>
      <c r="E123" s="168" t="s">
        <v>1281</v>
      </c>
      <c r="F123" s="168" t="s">
        <v>35</v>
      </c>
      <c r="G123" s="168" t="s">
        <v>240</v>
      </c>
    </row>
    <row r="124" spans="1:7" ht="15" thickBot="1" x14ac:dyDescent="0.4">
      <c r="A124" s="171">
        <f>ROWS($A$6:A124)</f>
        <v>119</v>
      </c>
      <c r="B124" s="168" t="s">
        <v>25</v>
      </c>
      <c r="C124" s="168" t="s">
        <v>475</v>
      </c>
      <c r="D124" s="168" t="s">
        <v>476</v>
      </c>
      <c r="E124" s="168" t="s">
        <v>1281</v>
      </c>
      <c r="F124" s="168" t="s">
        <v>35</v>
      </c>
      <c r="G124" s="168" t="s">
        <v>240</v>
      </c>
    </row>
    <row r="125" spans="1:7" ht="15" thickBot="1" x14ac:dyDescent="0.4">
      <c r="A125" s="171">
        <f>ROWS($A$6:A125)</f>
        <v>120</v>
      </c>
      <c r="B125" s="168" t="s">
        <v>25</v>
      </c>
      <c r="C125" s="168" t="s">
        <v>477</v>
      </c>
      <c r="D125" s="168" t="s">
        <v>478</v>
      </c>
      <c r="E125" s="168" t="s">
        <v>1281</v>
      </c>
      <c r="F125" s="168" t="s">
        <v>313</v>
      </c>
      <c r="G125" s="168" t="s">
        <v>257</v>
      </c>
    </row>
    <row r="126" spans="1:7" ht="15" thickBot="1" x14ac:dyDescent="0.4">
      <c r="A126" s="171">
        <f>ROWS($A$6:A126)</f>
        <v>121</v>
      </c>
      <c r="B126" s="168" t="s">
        <v>25</v>
      </c>
      <c r="C126" s="168" t="s">
        <v>479</v>
      </c>
      <c r="D126" s="168" t="s">
        <v>480</v>
      </c>
      <c r="E126" s="168" t="s">
        <v>1281</v>
      </c>
      <c r="F126" s="168" t="s">
        <v>33</v>
      </c>
      <c r="G126" s="168" t="s">
        <v>257</v>
      </c>
    </row>
    <row r="127" spans="1:7" ht="15" thickBot="1" x14ac:dyDescent="0.4">
      <c r="A127" s="171">
        <f>ROWS($A$6:A127)</f>
        <v>122</v>
      </c>
      <c r="B127" s="168" t="s">
        <v>25</v>
      </c>
      <c r="C127" s="168" t="s">
        <v>481</v>
      </c>
      <c r="D127" s="168" t="s">
        <v>482</v>
      </c>
      <c r="E127" s="168" t="s">
        <v>1281</v>
      </c>
      <c r="F127" s="168" t="s">
        <v>35</v>
      </c>
      <c r="G127" s="168" t="s">
        <v>240</v>
      </c>
    </row>
    <row r="128" spans="1:7" ht="15" thickBot="1" x14ac:dyDescent="0.4">
      <c r="A128" s="171">
        <f>ROWS($A$6:A128)</f>
        <v>123</v>
      </c>
      <c r="B128" s="168" t="s">
        <v>25</v>
      </c>
      <c r="C128" s="168" t="s">
        <v>483</v>
      </c>
      <c r="D128" s="168" t="s">
        <v>484</v>
      </c>
      <c r="E128" s="168" t="s">
        <v>1281</v>
      </c>
      <c r="F128" s="168" t="s">
        <v>240</v>
      </c>
      <c r="G128" s="168" t="s">
        <v>240</v>
      </c>
    </row>
    <row r="129" spans="1:7" ht="15" thickBot="1" x14ac:dyDescent="0.4">
      <c r="A129" s="171">
        <f>ROWS($A$6:A129)</f>
        <v>124</v>
      </c>
      <c r="B129" s="168" t="s">
        <v>25</v>
      </c>
      <c r="C129" s="168" t="s">
        <v>485</v>
      </c>
      <c r="D129" s="168" t="s">
        <v>486</v>
      </c>
      <c r="E129" s="168" t="s">
        <v>1281</v>
      </c>
      <c r="F129" s="168" t="s">
        <v>31</v>
      </c>
      <c r="G129" s="168" t="s">
        <v>257</v>
      </c>
    </row>
    <row r="130" spans="1:7" ht="15" thickBot="1" x14ac:dyDescent="0.4">
      <c r="A130" s="171">
        <f>ROWS($A$6:A130)</f>
        <v>125</v>
      </c>
      <c r="B130" s="168" t="s">
        <v>25</v>
      </c>
      <c r="C130" s="168" t="s">
        <v>487</v>
      </c>
      <c r="D130" s="168" t="s">
        <v>488</v>
      </c>
      <c r="E130" s="168" t="s">
        <v>1281</v>
      </c>
      <c r="F130" s="168" t="s">
        <v>33</v>
      </c>
      <c r="G130" s="168" t="s">
        <v>257</v>
      </c>
    </row>
    <row r="131" spans="1:7" ht="15" thickBot="1" x14ac:dyDescent="0.4">
      <c r="A131" s="171">
        <f>ROWS($A$6:A131)</f>
        <v>126</v>
      </c>
      <c r="B131" s="168" t="s">
        <v>25</v>
      </c>
      <c r="C131" s="168" t="s">
        <v>489</v>
      </c>
      <c r="D131" s="168" t="s">
        <v>490</v>
      </c>
      <c r="E131" s="168" t="s">
        <v>1281</v>
      </c>
      <c r="F131" s="168" t="s">
        <v>33</v>
      </c>
      <c r="G131" s="168" t="s">
        <v>257</v>
      </c>
    </row>
    <row r="132" spans="1:7" ht="15" thickBot="1" x14ac:dyDescent="0.4">
      <c r="A132" s="171">
        <f>ROWS($A$6:A132)</f>
        <v>127</v>
      </c>
      <c r="B132" s="168" t="s">
        <v>25</v>
      </c>
      <c r="C132" s="168" t="s">
        <v>491</v>
      </c>
      <c r="D132" s="168" t="s">
        <v>492</v>
      </c>
      <c r="E132" s="168" t="s">
        <v>1281</v>
      </c>
      <c r="F132" s="168" t="s">
        <v>240</v>
      </c>
      <c r="G132" s="168" t="s">
        <v>240</v>
      </c>
    </row>
    <row r="133" spans="1:7" ht="15" thickBot="1" x14ac:dyDescent="0.4">
      <c r="A133" s="171">
        <f>ROWS($A$6:A133)</f>
        <v>128</v>
      </c>
      <c r="B133" s="168" t="s">
        <v>25</v>
      </c>
      <c r="C133" s="168" t="s">
        <v>493</v>
      </c>
      <c r="D133" s="168" t="s">
        <v>494</v>
      </c>
      <c r="E133" s="168" t="s">
        <v>1281</v>
      </c>
      <c r="F133" s="168" t="s">
        <v>33</v>
      </c>
      <c r="G133" s="168" t="s">
        <v>257</v>
      </c>
    </row>
    <row r="134" spans="1:7" ht="15" thickBot="1" x14ac:dyDescent="0.4">
      <c r="A134" s="171">
        <f>ROWS($A$6:A134)</f>
        <v>129</v>
      </c>
      <c r="B134" s="168" t="s">
        <v>25</v>
      </c>
      <c r="C134" s="168" t="s">
        <v>495</v>
      </c>
      <c r="D134" s="168" t="s">
        <v>496</v>
      </c>
      <c r="E134" s="168" t="s">
        <v>1281</v>
      </c>
      <c r="F134" s="168" t="s">
        <v>33</v>
      </c>
      <c r="G134" s="168" t="s">
        <v>257</v>
      </c>
    </row>
    <row r="135" spans="1:7" ht="15" thickBot="1" x14ac:dyDescent="0.4">
      <c r="A135" s="171">
        <f>ROWS($A$6:A135)</f>
        <v>130</v>
      </c>
      <c r="B135" s="168" t="s">
        <v>25</v>
      </c>
      <c r="C135" s="168" t="s">
        <v>497</v>
      </c>
      <c r="D135" s="168" t="s">
        <v>498</v>
      </c>
      <c r="E135" s="168" t="s">
        <v>1281</v>
      </c>
      <c r="F135" s="168" t="s">
        <v>33</v>
      </c>
      <c r="G135" s="168" t="s">
        <v>257</v>
      </c>
    </row>
    <row r="136" spans="1:7" ht="15" thickBot="1" x14ac:dyDescent="0.4">
      <c r="A136" s="171">
        <f>ROWS($A$6:A136)</f>
        <v>131</v>
      </c>
      <c r="B136" s="168" t="s">
        <v>25</v>
      </c>
      <c r="C136" s="168" t="s">
        <v>499</v>
      </c>
      <c r="D136" s="168" t="s">
        <v>500</v>
      </c>
      <c r="E136" s="168" t="s">
        <v>1281</v>
      </c>
      <c r="F136" s="168" t="s">
        <v>33</v>
      </c>
      <c r="G136" s="168" t="s">
        <v>257</v>
      </c>
    </row>
    <row r="137" spans="1:7" ht="15" thickBot="1" x14ac:dyDescent="0.4">
      <c r="A137" s="171">
        <f>ROWS($A$6:A137)</f>
        <v>132</v>
      </c>
      <c r="B137" s="168" t="s">
        <v>25</v>
      </c>
      <c r="C137" s="168" t="s">
        <v>501</v>
      </c>
      <c r="D137" s="168" t="s">
        <v>502</v>
      </c>
      <c r="E137" s="168" t="s">
        <v>1281</v>
      </c>
      <c r="F137" s="168" t="s">
        <v>35</v>
      </c>
      <c r="G137" s="168" t="s">
        <v>240</v>
      </c>
    </row>
    <row r="138" spans="1:7" ht="15" thickBot="1" x14ac:dyDescent="0.4">
      <c r="A138" s="171">
        <f>ROWS($A$6:A138)</f>
        <v>133</v>
      </c>
      <c r="B138" s="168" t="s">
        <v>25</v>
      </c>
      <c r="C138" s="168" t="s">
        <v>503</v>
      </c>
      <c r="D138" s="168" t="s">
        <v>504</v>
      </c>
      <c r="E138" s="168" t="s">
        <v>1281</v>
      </c>
      <c r="F138" s="168" t="s">
        <v>240</v>
      </c>
      <c r="G138" s="168" t="s">
        <v>240</v>
      </c>
    </row>
    <row r="139" spans="1:7" ht="15" thickBot="1" x14ac:dyDescent="0.4">
      <c r="A139" s="171">
        <f>ROWS($A$6:A139)</f>
        <v>134</v>
      </c>
      <c r="B139" s="168" t="s">
        <v>25</v>
      </c>
      <c r="C139" s="168" t="s">
        <v>505</v>
      </c>
      <c r="D139" s="168" t="s">
        <v>506</v>
      </c>
      <c r="E139" s="168" t="s">
        <v>1281</v>
      </c>
      <c r="F139" s="168" t="s">
        <v>33</v>
      </c>
      <c r="G139" s="168" t="s">
        <v>257</v>
      </c>
    </row>
    <row r="140" spans="1:7" ht="15" thickBot="1" x14ac:dyDescent="0.4">
      <c r="A140" s="171">
        <f>ROWS($A$6:A140)</f>
        <v>135</v>
      </c>
      <c r="B140" s="168" t="s">
        <v>25</v>
      </c>
      <c r="C140" s="168" t="s">
        <v>507</v>
      </c>
      <c r="D140" s="168" t="s">
        <v>508</v>
      </c>
      <c r="E140" s="168" t="s">
        <v>1281</v>
      </c>
      <c r="F140" s="168" t="s">
        <v>35</v>
      </c>
      <c r="G140" s="168" t="s">
        <v>240</v>
      </c>
    </row>
    <row r="141" spans="1:7" ht="15" thickBot="1" x14ac:dyDescent="0.4">
      <c r="A141" s="171">
        <f>ROWS($A$6:A141)</f>
        <v>136</v>
      </c>
      <c r="B141" s="168" t="s">
        <v>25</v>
      </c>
      <c r="C141" s="168" t="s">
        <v>509</v>
      </c>
      <c r="D141" s="168" t="s">
        <v>510</v>
      </c>
      <c r="E141" s="168" t="s">
        <v>1281</v>
      </c>
      <c r="F141" s="168" t="s">
        <v>31</v>
      </c>
      <c r="G141" s="168" t="s">
        <v>257</v>
      </c>
    </row>
    <row r="142" spans="1:7" ht="15" thickBot="1" x14ac:dyDescent="0.4">
      <c r="A142" s="171">
        <f>ROWS($A$6:A142)</f>
        <v>137</v>
      </c>
      <c r="B142" s="168" t="s">
        <v>25</v>
      </c>
      <c r="C142" s="168" t="s">
        <v>511</v>
      </c>
      <c r="D142" s="168" t="s">
        <v>512</v>
      </c>
      <c r="E142" s="168" t="s">
        <v>1281</v>
      </c>
      <c r="F142" s="168" t="s">
        <v>33</v>
      </c>
      <c r="G142" s="168" t="s">
        <v>257</v>
      </c>
    </row>
    <row r="143" spans="1:7" ht="15" thickBot="1" x14ac:dyDescent="0.4">
      <c r="A143" s="171">
        <f>ROWS($A$6:A143)</f>
        <v>138</v>
      </c>
      <c r="B143" s="168" t="s">
        <v>25</v>
      </c>
      <c r="C143" s="168" t="s">
        <v>513</v>
      </c>
      <c r="D143" s="168" t="s">
        <v>514</v>
      </c>
      <c r="E143" s="168" t="s">
        <v>1281</v>
      </c>
      <c r="F143" s="168" t="s">
        <v>33</v>
      </c>
      <c r="G143" s="168" t="s">
        <v>257</v>
      </c>
    </row>
    <row r="144" spans="1:7" ht="15" thickBot="1" x14ac:dyDescent="0.4">
      <c r="A144" s="171">
        <f>ROWS($A$6:A144)</f>
        <v>139</v>
      </c>
      <c r="B144" s="168" t="s">
        <v>25</v>
      </c>
      <c r="C144" s="168" t="s">
        <v>515</v>
      </c>
      <c r="D144" s="168" t="s">
        <v>516</v>
      </c>
      <c r="E144" s="168" t="s">
        <v>1281</v>
      </c>
      <c r="F144" s="168" t="s">
        <v>35</v>
      </c>
      <c r="G144" s="168" t="s">
        <v>240</v>
      </c>
    </row>
    <row r="145" spans="1:7" ht="15" thickBot="1" x14ac:dyDescent="0.4">
      <c r="A145" s="171">
        <f>ROWS($A$6:A145)</f>
        <v>140</v>
      </c>
      <c r="B145" s="168" t="s">
        <v>25</v>
      </c>
      <c r="C145" s="168" t="s">
        <v>517</v>
      </c>
      <c r="D145" s="168" t="s">
        <v>518</v>
      </c>
      <c r="E145" s="168" t="s">
        <v>1281</v>
      </c>
      <c r="F145" s="168" t="s">
        <v>35</v>
      </c>
      <c r="G145" s="168" t="s">
        <v>240</v>
      </c>
    </row>
    <row r="146" spans="1:7" ht="15" thickBot="1" x14ac:dyDescent="0.4">
      <c r="A146" s="171">
        <f>ROWS($A$6:A146)</f>
        <v>141</v>
      </c>
      <c r="B146" s="168" t="s">
        <v>25</v>
      </c>
      <c r="C146" s="168" t="s">
        <v>519</v>
      </c>
      <c r="D146" s="168" t="s">
        <v>520</v>
      </c>
      <c r="E146" s="168" t="s">
        <v>1281</v>
      </c>
      <c r="F146" s="168" t="s">
        <v>31</v>
      </c>
      <c r="G146" s="168" t="s">
        <v>257</v>
      </c>
    </row>
    <row r="147" spans="1:7" ht="15" thickBot="1" x14ac:dyDescent="0.4">
      <c r="A147" s="171">
        <f>ROWS($A$6:A147)</f>
        <v>142</v>
      </c>
      <c r="B147" s="168" t="s">
        <v>25</v>
      </c>
      <c r="C147" s="168" t="s">
        <v>363</v>
      </c>
      <c r="D147" s="168" t="s">
        <v>128</v>
      </c>
      <c r="E147" s="168" t="s">
        <v>1282</v>
      </c>
      <c r="F147" s="168" t="s">
        <v>31</v>
      </c>
      <c r="G147" s="168" t="s">
        <v>257</v>
      </c>
    </row>
    <row r="148" spans="1:7" ht="15" thickBot="1" x14ac:dyDescent="0.4">
      <c r="A148" s="171">
        <f>ROWS($A$6:A148)</f>
        <v>143</v>
      </c>
      <c r="B148" s="168" t="s">
        <v>25</v>
      </c>
      <c r="C148" s="168" t="s">
        <v>521</v>
      </c>
      <c r="D148" s="168" t="s">
        <v>522</v>
      </c>
      <c r="E148" s="168" t="s">
        <v>1281</v>
      </c>
      <c r="F148" s="168" t="s">
        <v>29</v>
      </c>
      <c r="G148" s="168" t="s">
        <v>283</v>
      </c>
    </row>
    <row r="149" spans="1:7" ht="15" thickBot="1" x14ac:dyDescent="0.4">
      <c r="A149" s="171">
        <f>ROWS($A$6:A149)</f>
        <v>144</v>
      </c>
      <c r="B149" s="168" t="s">
        <v>25</v>
      </c>
      <c r="C149" s="168" t="s">
        <v>523</v>
      </c>
      <c r="D149" s="168" t="s">
        <v>524</v>
      </c>
      <c r="E149" s="168" t="s">
        <v>1281</v>
      </c>
      <c r="F149" s="168" t="s">
        <v>313</v>
      </c>
      <c r="G149" s="168" t="s">
        <v>257</v>
      </c>
    </row>
    <row r="150" spans="1:7" ht="15" thickBot="1" x14ac:dyDescent="0.4">
      <c r="A150" s="171">
        <f>ROWS($A$6:A150)</f>
        <v>145</v>
      </c>
      <c r="B150" s="168" t="s">
        <v>25</v>
      </c>
      <c r="C150" s="168" t="s">
        <v>525</v>
      </c>
      <c r="D150" s="168" t="s">
        <v>526</v>
      </c>
      <c r="E150" s="168" t="s">
        <v>1281</v>
      </c>
      <c r="F150" s="168" t="s">
        <v>34</v>
      </c>
      <c r="G150" s="168" t="s">
        <v>283</v>
      </c>
    </row>
    <row r="151" spans="1:7" ht="15" thickBot="1" x14ac:dyDescent="0.4">
      <c r="A151" s="171">
        <f>ROWS($A$6:A151)</f>
        <v>146</v>
      </c>
      <c r="B151" s="168" t="s">
        <v>25</v>
      </c>
      <c r="C151" s="168" t="s">
        <v>266</v>
      </c>
      <c r="D151" s="168" t="s">
        <v>527</v>
      </c>
      <c r="E151" s="168" t="s">
        <v>1281</v>
      </c>
      <c r="F151" s="168" t="s">
        <v>35</v>
      </c>
      <c r="G151" s="168" t="s">
        <v>240</v>
      </c>
    </row>
    <row r="152" spans="1:7" ht="15" thickBot="1" x14ac:dyDescent="0.4">
      <c r="A152" s="171">
        <f>ROWS($A$6:A152)</f>
        <v>147</v>
      </c>
      <c r="B152" s="168" t="s">
        <v>65</v>
      </c>
      <c r="C152" s="168" t="s">
        <v>528</v>
      </c>
      <c r="D152" s="168" t="s">
        <v>529</v>
      </c>
      <c r="E152" s="168" t="s">
        <v>1281</v>
      </c>
      <c r="F152" s="168" t="s">
        <v>39</v>
      </c>
      <c r="G152" s="168" t="s">
        <v>68</v>
      </c>
    </row>
    <row r="153" spans="1:7" ht="15" thickBot="1" x14ac:dyDescent="0.4">
      <c r="A153" s="171">
        <f>ROWS($A$6:A153)</f>
        <v>148</v>
      </c>
      <c r="B153" s="168" t="s">
        <v>65</v>
      </c>
      <c r="C153" s="168" t="s">
        <v>530</v>
      </c>
      <c r="D153" s="168" t="s">
        <v>531</v>
      </c>
      <c r="E153" s="168" t="s">
        <v>1281</v>
      </c>
      <c r="F153" s="168" t="s">
        <v>37</v>
      </c>
      <c r="G153" s="168" t="s">
        <v>67</v>
      </c>
    </row>
    <row r="154" spans="1:7" ht="15" thickBot="1" x14ac:dyDescent="0.4">
      <c r="A154" s="171">
        <f>ROWS($A$6:A154)</f>
        <v>149</v>
      </c>
      <c r="B154" s="168" t="s">
        <v>65</v>
      </c>
      <c r="C154" s="168" t="s">
        <v>532</v>
      </c>
      <c r="D154" s="168" t="s">
        <v>533</v>
      </c>
      <c r="E154" s="168" t="s">
        <v>1281</v>
      </c>
      <c r="F154" s="168" t="s">
        <v>39</v>
      </c>
      <c r="G154" s="168" t="s">
        <v>68</v>
      </c>
    </row>
    <row r="155" spans="1:7" ht="15" thickBot="1" x14ac:dyDescent="0.4">
      <c r="A155" s="171">
        <f>ROWS($A$6:A155)</f>
        <v>150</v>
      </c>
      <c r="B155" s="168" t="s">
        <v>65</v>
      </c>
      <c r="C155" s="168" t="s">
        <v>534</v>
      </c>
      <c r="D155" s="168" t="s">
        <v>535</v>
      </c>
      <c r="E155" s="168" t="s">
        <v>1281</v>
      </c>
      <c r="F155" s="168" t="s">
        <v>37</v>
      </c>
      <c r="G155" s="168" t="s">
        <v>67</v>
      </c>
    </row>
    <row r="156" spans="1:7" ht="15" thickBot="1" x14ac:dyDescent="0.4">
      <c r="A156" s="171">
        <f>ROWS($A$6:A156)</f>
        <v>151</v>
      </c>
      <c r="B156" s="168" t="s">
        <v>65</v>
      </c>
      <c r="C156" s="168" t="s">
        <v>536</v>
      </c>
      <c r="D156" s="168" t="s">
        <v>537</v>
      </c>
      <c r="E156" s="168" t="s">
        <v>1281</v>
      </c>
      <c r="F156" s="168" t="s">
        <v>38</v>
      </c>
      <c r="G156" s="168" t="s">
        <v>68</v>
      </c>
    </row>
    <row r="157" spans="1:7" ht="15" thickBot="1" x14ac:dyDescent="0.4">
      <c r="A157" s="171">
        <f>ROWS($A$6:A157)</f>
        <v>152</v>
      </c>
      <c r="B157" s="168" t="s">
        <v>65</v>
      </c>
      <c r="C157" s="168" t="s">
        <v>538</v>
      </c>
      <c r="D157" s="168" t="s">
        <v>539</v>
      </c>
      <c r="E157" s="168" t="s">
        <v>1281</v>
      </c>
      <c r="F157" s="168" t="s">
        <v>39</v>
      </c>
      <c r="G157" s="168" t="s">
        <v>68</v>
      </c>
    </row>
    <row r="158" spans="1:7" ht="15" thickBot="1" x14ac:dyDescent="0.4">
      <c r="A158" s="171">
        <f>ROWS($A$6:A158)</f>
        <v>153</v>
      </c>
      <c r="B158" s="168" t="s">
        <v>65</v>
      </c>
      <c r="C158" s="168" t="s">
        <v>540</v>
      </c>
      <c r="D158" s="168" t="s">
        <v>541</v>
      </c>
      <c r="E158" s="168" t="s">
        <v>1281</v>
      </c>
      <c r="F158" s="168" t="s">
        <v>37</v>
      </c>
      <c r="G158" s="168" t="s">
        <v>67</v>
      </c>
    </row>
    <row r="159" spans="1:7" ht="15" thickBot="1" x14ac:dyDescent="0.4">
      <c r="A159" s="171">
        <f>ROWS($A$6:A159)</f>
        <v>154</v>
      </c>
      <c r="B159" s="168" t="s">
        <v>65</v>
      </c>
      <c r="C159" s="168" t="s">
        <v>542</v>
      </c>
      <c r="D159" s="168" t="s">
        <v>543</v>
      </c>
      <c r="E159" s="168" t="s">
        <v>1281</v>
      </c>
      <c r="F159" s="168" t="s">
        <v>37</v>
      </c>
      <c r="G159" s="168" t="s">
        <v>67</v>
      </c>
    </row>
    <row r="160" spans="1:7" ht="15" thickBot="1" x14ac:dyDescent="0.4">
      <c r="A160" s="171">
        <f>ROWS($A$6:A160)</f>
        <v>155</v>
      </c>
      <c r="B160" s="168" t="s">
        <v>65</v>
      </c>
      <c r="C160" s="168" t="s">
        <v>544</v>
      </c>
      <c r="D160" s="168" t="s">
        <v>545</v>
      </c>
      <c r="E160" s="168" t="s">
        <v>1281</v>
      </c>
      <c r="F160" s="168" t="s">
        <v>37</v>
      </c>
      <c r="G160" s="168" t="s">
        <v>67</v>
      </c>
    </row>
    <row r="161" spans="1:7" ht="15" thickBot="1" x14ac:dyDescent="0.4">
      <c r="A161" s="171">
        <f>ROWS($A$6:A161)</f>
        <v>156</v>
      </c>
      <c r="B161" s="168" t="s">
        <v>65</v>
      </c>
      <c r="C161" s="168" t="s">
        <v>546</v>
      </c>
      <c r="D161" s="168" t="s">
        <v>547</v>
      </c>
      <c r="E161" s="168" t="s">
        <v>1281</v>
      </c>
      <c r="F161" s="168" t="s">
        <v>38</v>
      </c>
      <c r="G161" s="168" t="s">
        <v>68</v>
      </c>
    </row>
    <row r="162" spans="1:7" ht="15" thickBot="1" x14ac:dyDescent="0.4">
      <c r="A162" s="171">
        <f>ROWS($A$6:A162)</f>
        <v>157</v>
      </c>
      <c r="B162" s="168" t="s">
        <v>65</v>
      </c>
      <c r="C162" s="168" t="s">
        <v>548</v>
      </c>
      <c r="D162" s="168" t="s">
        <v>549</v>
      </c>
      <c r="E162" s="168" t="s">
        <v>1281</v>
      </c>
      <c r="F162" s="168" t="s">
        <v>38</v>
      </c>
      <c r="G162" s="168" t="s">
        <v>68</v>
      </c>
    </row>
    <row r="163" spans="1:7" ht="15" thickBot="1" x14ac:dyDescent="0.4">
      <c r="A163" s="171">
        <f>ROWS($A$6:A163)</f>
        <v>158</v>
      </c>
      <c r="B163" s="168" t="s">
        <v>65</v>
      </c>
      <c r="C163" s="168" t="s">
        <v>550</v>
      </c>
      <c r="D163" s="168" t="s">
        <v>551</v>
      </c>
      <c r="E163" s="168" t="s">
        <v>1281</v>
      </c>
      <c r="F163" s="168" t="s">
        <v>39</v>
      </c>
      <c r="G163" s="168" t="s">
        <v>68</v>
      </c>
    </row>
    <row r="164" spans="1:7" ht="15" thickBot="1" x14ac:dyDescent="0.4">
      <c r="A164" s="171">
        <f>ROWS($A$6:A164)</f>
        <v>159</v>
      </c>
      <c r="B164" s="168" t="s">
        <v>65</v>
      </c>
      <c r="C164" s="168" t="s">
        <v>552</v>
      </c>
      <c r="D164" s="168" t="s">
        <v>553</v>
      </c>
      <c r="E164" s="168" t="s">
        <v>1281</v>
      </c>
      <c r="F164" s="168" t="s">
        <v>37</v>
      </c>
      <c r="G164" s="168" t="s">
        <v>67</v>
      </c>
    </row>
    <row r="165" spans="1:7" ht="15" thickBot="1" x14ac:dyDescent="0.4">
      <c r="A165" s="171">
        <f>ROWS($A$6:A165)</f>
        <v>160</v>
      </c>
      <c r="B165" s="168" t="s">
        <v>65</v>
      </c>
      <c r="C165" s="168" t="s">
        <v>554</v>
      </c>
      <c r="D165" s="168" t="s">
        <v>555</v>
      </c>
      <c r="E165" s="168" t="s">
        <v>1281</v>
      </c>
      <c r="F165" s="168" t="s">
        <v>39</v>
      </c>
      <c r="G165" s="168" t="s">
        <v>68</v>
      </c>
    </row>
    <row r="166" spans="1:7" ht="15" thickBot="1" x14ac:dyDescent="0.4">
      <c r="A166" s="171">
        <f>ROWS($A$6:A166)</f>
        <v>161</v>
      </c>
      <c r="B166" s="168" t="s">
        <v>65</v>
      </c>
      <c r="C166" s="168" t="s">
        <v>556</v>
      </c>
      <c r="D166" s="168" t="s">
        <v>557</v>
      </c>
      <c r="E166" s="168" t="s">
        <v>1281</v>
      </c>
      <c r="F166" s="168" t="s">
        <v>38</v>
      </c>
      <c r="G166" s="168" t="s">
        <v>68</v>
      </c>
    </row>
    <row r="167" spans="1:7" ht="15" thickBot="1" x14ac:dyDescent="0.4">
      <c r="A167" s="171">
        <f>ROWS($A$6:A167)</f>
        <v>162</v>
      </c>
      <c r="B167" s="168" t="s">
        <v>65</v>
      </c>
      <c r="C167" s="168" t="s">
        <v>558</v>
      </c>
      <c r="D167" s="168" t="s">
        <v>559</v>
      </c>
      <c r="E167" s="168" t="s">
        <v>1281</v>
      </c>
      <c r="F167" s="168" t="s">
        <v>37</v>
      </c>
      <c r="G167" s="168" t="s">
        <v>67</v>
      </c>
    </row>
    <row r="168" spans="1:7" ht="15" thickBot="1" x14ac:dyDescent="0.4">
      <c r="A168" s="171">
        <f>ROWS($A$6:A168)</f>
        <v>163</v>
      </c>
      <c r="B168" s="168" t="s">
        <v>65</v>
      </c>
      <c r="C168" s="168" t="s">
        <v>560</v>
      </c>
      <c r="D168" s="168" t="s">
        <v>561</v>
      </c>
      <c r="E168" s="168" t="s">
        <v>1281</v>
      </c>
      <c r="F168" s="168" t="s">
        <v>37</v>
      </c>
      <c r="G168" s="168" t="s">
        <v>67</v>
      </c>
    </row>
    <row r="169" spans="1:7" ht="15" thickBot="1" x14ac:dyDescent="0.4">
      <c r="A169" s="171">
        <f>ROWS($A$6:A169)</f>
        <v>164</v>
      </c>
      <c r="B169" s="168" t="s">
        <v>65</v>
      </c>
      <c r="C169" s="168" t="s">
        <v>562</v>
      </c>
      <c r="D169" s="168" t="s">
        <v>563</v>
      </c>
      <c r="E169" s="168" t="s">
        <v>1281</v>
      </c>
      <c r="F169" s="168" t="s">
        <v>39</v>
      </c>
      <c r="G169" s="168" t="s">
        <v>68</v>
      </c>
    </row>
    <row r="170" spans="1:7" ht="15" thickBot="1" x14ac:dyDescent="0.4">
      <c r="A170" s="171">
        <f>ROWS($A$6:A170)</f>
        <v>165</v>
      </c>
      <c r="B170" s="168" t="s">
        <v>65</v>
      </c>
      <c r="C170" s="168" t="s">
        <v>564</v>
      </c>
      <c r="D170" s="168" t="s">
        <v>565</v>
      </c>
      <c r="E170" s="168" t="s">
        <v>1281</v>
      </c>
      <c r="F170" s="168" t="s">
        <v>38</v>
      </c>
      <c r="G170" s="168" t="s">
        <v>68</v>
      </c>
    </row>
    <row r="171" spans="1:7" ht="15" thickBot="1" x14ac:dyDescent="0.4">
      <c r="A171" s="171">
        <f>ROWS($A$6:A171)</f>
        <v>166</v>
      </c>
      <c r="B171" s="168" t="s">
        <v>65</v>
      </c>
      <c r="C171" s="168" t="s">
        <v>566</v>
      </c>
      <c r="D171" s="168" t="s">
        <v>567</v>
      </c>
      <c r="E171" s="168" t="s">
        <v>1281</v>
      </c>
      <c r="F171" s="168" t="s">
        <v>37</v>
      </c>
      <c r="G171" s="168" t="s">
        <v>67</v>
      </c>
    </row>
    <row r="172" spans="1:7" ht="15" thickBot="1" x14ac:dyDescent="0.4">
      <c r="A172" s="171">
        <f>ROWS($A$6:A172)</f>
        <v>167</v>
      </c>
      <c r="B172" s="168" t="s">
        <v>65</v>
      </c>
      <c r="C172" s="168" t="s">
        <v>568</v>
      </c>
      <c r="D172" s="168" t="s">
        <v>569</v>
      </c>
      <c r="E172" s="168" t="s">
        <v>1281</v>
      </c>
      <c r="F172" s="168" t="s">
        <v>39</v>
      </c>
      <c r="G172" s="168" t="s">
        <v>68</v>
      </c>
    </row>
    <row r="173" spans="1:7" ht="15" thickBot="1" x14ac:dyDescent="0.4">
      <c r="A173" s="171">
        <f>ROWS($A$6:A173)</f>
        <v>168</v>
      </c>
      <c r="B173" s="168" t="s">
        <v>65</v>
      </c>
      <c r="C173" s="168" t="s">
        <v>570</v>
      </c>
      <c r="D173" s="168" t="s">
        <v>571</v>
      </c>
      <c r="E173" s="168" t="s">
        <v>1281</v>
      </c>
      <c r="F173" s="168" t="s">
        <v>40</v>
      </c>
      <c r="G173" s="168" t="s">
        <v>68</v>
      </c>
    </row>
    <row r="174" spans="1:7" ht="15" thickBot="1" x14ac:dyDescent="0.4">
      <c r="A174" s="171">
        <f>ROWS($A$6:A174)</f>
        <v>169</v>
      </c>
      <c r="B174" s="168" t="s">
        <v>65</v>
      </c>
      <c r="C174" s="168" t="s">
        <v>572</v>
      </c>
      <c r="D174" s="168" t="s">
        <v>573</v>
      </c>
      <c r="E174" s="168" t="s">
        <v>1281</v>
      </c>
      <c r="F174" s="168" t="s">
        <v>38</v>
      </c>
      <c r="G174" s="168" t="s">
        <v>68</v>
      </c>
    </row>
    <row r="175" spans="1:7" ht="15" thickBot="1" x14ac:dyDescent="0.4">
      <c r="A175" s="171">
        <f>ROWS($A$6:A175)</f>
        <v>170</v>
      </c>
      <c r="B175" s="168" t="s">
        <v>65</v>
      </c>
      <c r="C175" s="168" t="s">
        <v>574</v>
      </c>
      <c r="D175" s="168" t="s">
        <v>575</v>
      </c>
      <c r="E175" s="168" t="s">
        <v>1281</v>
      </c>
      <c r="F175" s="168" t="s">
        <v>37</v>
      </c>
      <c r="G175" s="168" t="s">
        <v>67</v>
      </c>
    </row>
    <row r="176" spans="1:7" ht="15" thickBot="1" x14ac:dyDescent="0.4">
      <c r="A176" s="171">
        <f>ROWS($A$6:A176)</f>
        <v>171</v>
      </c>
      <c r="B176" s="168" t="s">
        <v>65</v>
      </c>
      <c r="C176" s="168" t="s">
        <v>576</v>
      </c>
      <c r="D176" s="168" t="s">
        <v>577</v>
      </c>
      <c r="E176" s="168" t="s">
        <v>1281</v>
      </c>
      <c r="F176" s="168" t="s">
        <v>39</v>
      </c>
      <c r="G176" s="168" t="s">
        <v>68</v>
      </c>
    </row>
    <row r="177" spans="1:7" ht="15" thickBot="1" x14ac:dyDescent="0.4">
      <c r="A177" s="171">
        <f>ROWS($A$6:A177)</f>
        <v>172</v>
      </c>
      <c r="B177" s="168" t="s">
        <v>65</v>
      </c>
      <c r="C177" s="168" t="s">
        <v>578</v>
      </c>
      <c r="D177" s="168" t="s">
        <v>579</v>
      </c>
      <c r="E177" s="168" t="s">
        <v>1281</v>
      </c>
      <c r="F177" s="168" t="s">
        <v>39</v>
      </c>
      <c r="G177" s="168" t="s">
        <v>68</v>
      </c>
    </row>
    <row r="178" spans="1:7" ht="15" thickBot="1" x14ac:dyDescent="0.4">
      <c r="A178" s="171">
        <f>ROWS($A$6:A178)</f>
        <v>173</v>
      </c>
      <c r="B178" s="168" t="s">
        <v>65</v>
      </c>
      <c r="C178" s="168" t="s">
        <v>580</v>
      </c>
      <c r="D178" s="168" t="s">
        <v>581</v>
      </c>
      <c r="E178" s="168" t="s">
        <v>1281</v>
      </c>
      <c r="F178" s="168" t="s">
        <v>37</v>
      </c>
      <c r="G178" s="168" t="s">
        <v>67</v>
      </c>
    </row>
    <row r="179" spans="1:7" ht="15" thickBot="1" x14ac:dyDescent="0.4">
      <c r="A179" s="171">
        <f>ROWS($A$6:A179)</f>
        <v>174</v>
      </c>
      <c r="B179" s="168" t="s">
        <v>65</v>
      </c>
      <c r="C179" s="168" t="s">
        <v>582</v>
      </c>
      <c r="D179" s="168" t="s">
        <v>583</v>
      </c>
      <c r="E179" s="168" t="s">
        <v>1281</v>
      </c>
      <c r="F179" s="168" t="s">
        <v>38</v>
      </c>
      <c r="G179" s="168" t="s">
        <v>68</v>
      </c>
    </row>
    <row r="180" spans="1:7" ht="15" thickBot="1" x14ac:dyDescent="0.4">
      <c r="A180" s="171">
        <f>ROWS($A$6:A180)</f>
        <v>175</v>
      </c>
      <c r="B180" s="168" t="s">
        <v>65</v>
      </c>
      <c r="C180" s="168" t="s">
        <v>584</v>
      </c>
      <c r="D180" s="168" t="s">
        <v>585</v>
      </c>
      <c r="E180" s="168" t="s">
        <v>1281</v>
      </c>
      <c r="F180" s="168" t="s">
        <v>37</v>
      </c>
      <c r="G180" s="168" t="s">
        <v>67</v>
      </c>
    </row>
    <row r="181" spans="1:7" ht="15" thickBot="1" x14ac:dyDescent="0.4">
      <c r="A181" s="171">
        <f>ROWS($A$6:A181)</f>
        <v>176</v>
      </c>
      <c r="B181" s="168" t="s">
        <v>65</v>
      </c>
      <c r="C181" s="168" t="s">
        <v>586</v>
      </c>
      <c r="D181" s="168" t="s">
        <v>587</v>
      </c>
      <c r="E181" s="168" t="s">
        <v>1281</v>
      </c>
      <c r="F181" s="168" t="s">
        <v>39</v>
      </c>
      <c r="G181" s="168" t="s">
        <v>68</v>
      </c>
    </row>
    <row r="182" spans="1:7" ht="15" thickBot="1" x14ac:dyDescent="0.4">
      <c r="A182" s="171">
        <f>ROWS($A$6:A182)</f>
        <v>177</v>
      </c>
      <c r="B182" s="168" t="s">
        <v>65</v>
      </c>
      <c r="C182" s="168" t="s">
        <v>588</v>
      </c>
      <c r="D182" s="168" t="s">
        <v>589</v>
      </c>
      <c r="E182" s="168" t="s">
        <v>1281</v>
      </c>
      <c r="F182" s="168" t="s">
        <v>37</v>
      </c>
      <c r="G182" s="168" t="s">
        <v>67</v>
      </c>
    </row>
    <row r="183" spans="1:7" ht="15" thickBot="1" x14ac:dyDescent="0.4">
      <c r="A183" s="171">
        <f>ROWS($A$6:A183)</f>
        <v>178</v>
      </c>
      <c r="B183" s="168" t="s">
        <v>65</v>
      </c>
      <c r="C183" s="168" t="s">
        <v>590</v>
      </c>
      <c r="D183" s="168" t="s">
        <v>591</v>
      </c>
      <c r="E183" s="168" t="s">
        <v>1281</v>
      </c>
      <c r="F183" s="168" t="s">
        <v>37</v>
      </c>
      <c r="G183" s="168" t="s">
        <v>67</v>
      </c>
    </row>
    <row r="184" spans="1:7" ht="15" thickBot="1" x14ac:dyDescent="0.4">
      <c r="A184" s="171">
        <f>ROWS($A$6:A184)</f>
        <v>179</v>
      </c>
      <c r="B184" s="168" t="s">
        <v>65</v>
      </c>
      <c r="C184" s="168" t="s">
        <v>592</v>
      </c>
      <c r="D184" s="168" t="s">
        <v>593</v>
      </c>
      <c r="E184" s="168" t="s">
        <v>1281</v>
      </c>
      <c r="F184" s="168" t="s">
        <v>40</v>
      </c>
      <c r="G184" s="168" t="s">
        <v>68</v>
      </c>
    </row>
    <row r="185" spans="1:7" ht="15" thickBot="1" x14ac:dyDescent="0.4">
      <c r="A185" s="171">
        <f>ROWS($A$6:A185)</f>
        <v>180</v>
      </c>
      <c r="B185" s="168" t="s">
        <v>65</v>
      </c>
      <c r="C185" s="168" t="s">
        <v>594</v>
      </c>
      <c r="D185" s="168" t="s">
        <v>595</v>
      </c>
      <c r="E185" s="168" t="s">
        <v>1281</v>
      </c>
      <c r="F185" s="168" t="s">
        <v>38</v>
      </c>
      <c r="G185" s="168" t="s">
        <v>68</v>
      </c>
    </row>
    <row r="186" spans="1:7" ht="15" thickBot="1" x14ac:dyDescent="0.4">
      <c r="A186" s="171">
        <f>ROWS($A$6:A186)</f>
        <v>181</v>
      </c>
      <c r="B186" s="168" t="s">
        <v>65</v>
      </c>
      <c r="C186" s="168" t="s">
        <v>596</v>
      </c>
      <c r="D186" s="168" t="s">
        <v>597</v>
      </c>
      <c r="E186" s="168" t="s">
        <v>1281</v>
      </c>
      <c r="F186" s="168" t="s">
        <v>40</v>
      </c>
      <c r="G186" s="168" t="s">
        <v>68</v>
      </c>
    </row>
    <row r="187" spans="1:7" ht="15" thickBot="1" x14ac:dyDescent="0.4">
      <c r="A187" s="171">
        <f>ROWS($A$6:A187)</f>
        <v>182</v>
      </c>
      <c r="B187" s="168" t="s">
        <v>65</v>
      </c>
      <c r="C187" s="168" t="s">
        <v>598</v>
      </c>
      <c r="D187" s="168" t="s">
        <v>599</v>
      </c>
      <c r="E187" s="168" t="s">
        <v>1281</v>
      </c>
      <c r="F187" s="168" t="s">
        <v>37</v>
      </c>
      <c r="G187" s="168" t="s">
        <v>67</v>
      </c>
    </row>
    <row r="188" spans="1:7" ht="15" thickBot="1" x14ac:dyDescent="0.4">
      <c r="A188" s="171">
        <f>ROWS($A$6:A188)</f>
        <v>183</v>
      </c>
      <c r="B188" s="168" t="s">
        <v>65</v>
      </c>
      <c r="C188" s="168" t="s">
        <v>600</v>
      </c>
      <c r="D188" s="168" t="s">
        <v>601</v>
      </c>
      <c r="E188" s="168" t="s">
        <v>1281</v>
      </c>
      <c r="F188" s="168" t="s">
        <v>41</v>
      </c>
      <c r="G188" s="168" t="s">
        <v>68</v>
      </c>
    </row>
    <row r="189" spans="1:7" ht="15" thickBot="1" x14ac:dyDescent="0.4">
      <c r="A189" s="171">
        <f>ROWS($A$6:A189)</f>
        <v>184</v>
      </c>
      <c r="B189" s="168" t="s">
        <v>65</v>
      </c>
      <c r="C189" s="168" t="s">
        <v>602</v>
      </c>
      <c r="D189" s="168" t="s">
        <v>603</v>
      </c>
      <c r="E189" s="168" t="s">
        <v>1281</v>
      </c>
      <c r="F189" s="168" t="s">
        <v>40</v>
      </c>
      <c r="G189" s="168" t="s">
        <v>68</v>
      </c>
    </row>
    <row r="190" spans="1:7" ht="15" thickBot="1" x14ac:dyDescent="0.4">
      <c r="A190" s="171">
        <f>ROWS($A$6:A190)</f>
        <v>185</v>
      </c>
      <c r="B190" s="168" t="s">
        <v>65</v>
      </c>
      <c r="C190" s="168" t="s">
        <v>604</v>
      </c>
      <c r="D190" s="168" t="s">
        <v>605</v>
      </c>
      <c r="E190" s="168" t="s">
        <v>1281</v>
      </c>
      <c r="F190" s="168" t="s">
        <v>37</v>
      </c>
      <c r="G190" s="168" t="s">
        <v>67</v>
      </c>
    </row>
    <row r="191" spans="1:7" ht="15" thickBot="1" x14ac:dyDescent="0.4">
      <c r="A191" s="171">
        <f>ROWS($A$6:A191)</f>
        <v>186</v>
      </c>
      <c r="B191" s="168" t="s">
        <v>65</v>
      </c>
      <c r="C191" s="168" t="s">
        <v>606</v>
      </c>
      <c r="D191" s="168" t="s">
        <v>607</v>
      </c>
      <c r="E191" s="168" t="s">
        <v>1281</v>
      </c>
      <c r="F191" s="168" t="s">
        <v>38</v>
      </c>
      <c r="G191" s="168" t="s">
        <v>68</v>
      </c>
    </row>
    <row r="192" spans="1:7" ht="15" thickBot="1" x14ac:dyDescent="0.4">
      <c r="A192" s="171">
        <f>ROWS($A$6:A192)</f>
        <v>187</v>
      </c>
      <c r="B192" s="168" t="s">
        <v>65</v>
      </c>
      <c r="C192" s="168" t="s">
        <v>608</v>
      </c>
      <c r="D192" s="168" t="s">
        <v>609</v>
      </c>
      <c r="E192" s="168" t="s">
        <v>1281</v>
      </c>
      <c r="F192" s="168" t="s">
        <v>38</v>
      </c>
      <c r="G192" s="168" t="s">
        <v>68</v>
      </c>
    </row>
    <row r="193" spans="1:7" ht="15" thickBot="1" x14ac:dyDescent="0.4">
      <c r="A193" s="171">
        <f>ROWS($A$6:A193)</f>
        <v>188</v>
      </c>
      <c r="B193" s="168" t="s">
        <v>65</v>
      </c>
      <c r="C193" s="168" t="s">
        <v>610</v>
      </c>
      <c r="D193" s="168" t="s">
        <v>611</v>
      </c>
      <c r="E193" s="168" t="s">
        <v>1281</v>
      </c>
      <c r="F193" s="168" t="s">
        <v>38</v>
      </c>
      <c r="G193" s="168" t="s">
        <v>68</v>
      </c>
    </row>
    <row r="194" spans="1:7" ht="15" thickBot="1" x14ac:dyDescent="0.4">
      <c r="A194" s="171">
        <f>ROWS($A$6:A194)</f>
        <v>189</v>
      </c>
      <c r="B194" s="168" t="s">
        <v>65</v>
      </c>
      <c r="C194" s="168" t="s">
        <v>612</v>
      </c>
      <c r="D194" s="168" t="s">
        <v>613</v>
      </c>
      <c r="E194" s="168" t="s">
        <v>1281</v>
      </c>
      <c r="F194" s="168" t="s">
        <v>41</v>
      </c>
      <c r="G194" s="168" t="s">
        <v>68</v>
      </c>
    </row>
    <row r="195" spans="1:7" ht="15" thickBot="1" x14ac:dyDescent="0.4">
      <c r="A195" s="171">
        <f>ROWS($A$6:A195)</f>
        <v>190</v>
      </c>
      <c r="B195" s="168" t="s">
        <v>65</v>
      </c>
      <c r="C195" s="168" t="s">
        <v>614</v>
      </c>
      <c r="D195" s="168" t="s">
        <v>545</v>
      </c>
      <c r="E195" s="168" t="s">
        <v>1281</v>
      </c>
      <c r="F195" s="168" t="s">
        <v>37</v>
      </c>
      <c r="G195" s="168" t="s">
        <v>67</v>
      </c>
    </row>
    <row r="196" spans="1:7" ht="15" thickBot="1" x14ac:dyDescent="0.4">
      <c r="A196" s="171">
        <f>ROWS($A$6:A196)</f>
        <v>191</v>
      </c>
      <c r="B196" s="168" t="s">
        <v>65</v>
      </c>
      <c r="C196" s="168" t="s">
        <v>615</v>
      </c>
      <c r="D196" s="168" t="s">
        <v>616</v>
      </c>
      <c r="E196" s="168" t="s">
        <v>1281</v>
      </c>
      <c r="F196" s="168" t="s">
        <v>41</v>
      </c>
      <c r="G196" s="168" t="s">
        <v>68</v>
      </c>
    </row>
    <row r="197" spans="1:7" ht="15" thickBot="1" x14ac:dyDescent="0.4">
      <c r="A197" s="171">
        <f>ROWS($A$6:A197)</f>
        <v>192</v>
      </c>
      <c r="B197" s="168" t="s">
        <v>65</v>
      </c>
      <c r="C197" s="168" t="s">
        <v>617</v>
      </c>
      <c r="D197" s="168" t="s">
        <v>618</v>
      </c>
      <c r="E197" s="168" t="s">
        <v>1281</v>
      </c>
      <c r="F197" s="168" t="s">
        <v>38</v>
      </c>
      <c r="G197" s="168" t="s">
        <v>68</v>
      </c>
    </row>
    <row r="198" spans="1:7" ht="15" thickBot="1" x14ac:dyDescent="0.4">
      <c r="A198" s="171">
        <f>ROWS($A$6:A198)</f>
        <v>193</v>
      </c>
      <c r="B198" s="168" t="s">
        <v>65</v>
      </c>
      <c r="C198" s="168" t="s">
        <v>619</v>
      </c>
      <c r="D198" s="168" t="s">
        <v>620</v>
      </c>
      <c r="E198" s="168" t="s">
        <v>1281</v>
      </c>
      <c r="F198" s="168" t="s">
        <v>38</v>
      </c>
      <c r="G198" s="168" t="s">
        <v>68</v>
      </c>
    </row>
    <row r="199" spans="1:7" ht="15" thickBot="1" x14ac:dyDescent="0.4">
      <c r="A199" s="171">
        <f>ROWS($A$6:A199)</f>
        <v>194</v>
      </c>
      <c r="B199" s="168" t="s">
        <v>65</v>
      </c>
      <c r="C199" s="168" t="s">
        <v>621</v>
      </c>
      <c r="D199" s="168" t="s">
        <v>622</v>
      </c>
      <c r="E199" s="168" t="s">
        <v>1281</v>
      </c>
      <c r="F199" s="168" t="s">
        <v>39</v>
      </c>
      <c r="G199" s="168" t="s">
        <v>68</v>
      </c>
    </row>
    <row r="200" spans="1:7" ht="15" thickBot="1" x14ac:dyDescent="0.4">
      <c r="A200" s="171">
        <f>ROWS($A$6:A200)</f>
        <v>195</v>
      </c>
      <c r="B200" s="168" t="s">
        <v>65</v>
      </c>
      <c r="C200" s="168" t="s">
        <v>623</v>
      </c>
      <c r="D200" s="168" t="s">
        <v>624</v>
      </c>
      <c r="E200" s="168" t="s">
        <v>1281</v>
      </c>
      <c r="F200" s="168" t="s">
        <v>41</v>
      </c>
      <c r="G200" s="168" t="s">
        <v>68</v>
      </c>
    </row>
    <row r="201" spans="1:7" ht="15" thickBot="1" x14ac:dyDescent="0.4">
      <c r="A201" s="171">
        <f>ROWS($A$6:A201)</f>
        <v>196</v>
      </c>
      <c r="B201" s="168" t="s">
        <v>65</v>
      </c>
      <c r="C201" s="168" t="s">
        <v>625</v>
      </c>
      <c r="D201" s="168" t="s">
        <v>626</v>
      </c>
      <c r="E201" s="168" t="s">
        <v>1281</v>
      </c>
      <c r="F201" s="168" t="s">
        <v>38</v>
      </c>
      <c r="G201" s="168" t="s">
        <v>68</v>
      </c>
    </row>
    <row r="202" spans="1:7" ht="15" thickBot="1" x14ac:dyDescent="0.4">
      <c r="A202" s="171">
        <f>ROWS($A$6:A202)</f>
        <v>197</v>
      </c>
      <c r="B202" s="168" t="s">
        <v>65</v>
      </c>
      <c r="C202" s="168" t="s">
        <v>627</v>
      </c>
      <c r="D202" s="168" t="s">
        <v>628</v>
      </c>
      <c r="E202" s="168" t="s">
        <v>1281</v>
      </c>
      <c r="F202" s="168" t="s">
        <v>38</v>
      </c>
      <c r="G202" s="168" t="s">
        <v>68</v>
      </c>
    </row>
    <row r="203" spans="1:7" ht="15" thickBot="1" x14ac:dyDescent="0.4">
      <c r="A203" s="171">
        <f>ROWS($A$6:A203)</f>
        <v>198</v>
      </c>
      <c r="B203" s="168" t="s">
        <v>65</v>
      </c>
      <c r="C203" s="168" t="s">
        <v>629</v>
      </c>
      <c r="D203" s="168" t="s">
        <v>630</v>
      </c>
      <c r="E203" s="168" t="s">
        <v>1281</v>
      </c>
      <c r="F203" s="168" t="s">
        <v>37</v>
      </c>
      <c r="G203" s="168" t="s">
        <v>67</v>
      </c>
    </row>
    <row r="204" spans="1:7" ht="15" thickBot="1" x14ac:dyDescent="0.4">
      <c r="A204" s="171">
        <f>ROWS($A$6:A204)</f>
        <v>199</v>
      </c>
      <c r="B204" s="168" t="s">
        <v>65</v>
      </c>
      <c r="C204" s="168" t="s">
        <v>631</v>
      </c>
      <c r="D204" s="168" t="s">
        <v>632</v>
      </c>
      <c r="E204" s="168" t="s">
        <v>1281</v>
      </c>
      <c r="F204" s="168" t="s">
        <v>37</v>
      </c>
      <c r="G204" s="168" t="s">
        <v>67</v>
      </c>
    </row>
    <row r="205" spans="1:7" ht="15" thickBot="1" x14ac:dyDescent="0.4">
      <c r="A205" s="171">
        <f>ROWS($A$6:A205)</f>
        <v>200</v>
      </c>
      <c r="B205" s="168" t="s">
        <v>65</v>
      </c>
      <c r="C205" s="168" t="s">
        <v>633</v>
      </c>
      <c r="D205" s="168" t="s">
        <v>634</v>
      </c>
      <c r="E205" s="168" t="s">
        <v>1281</v>
      </c>
      <c r="F205" s="168" t="s">
        <v>38</v>
      </c>
      <c r="G205" s="168" t="s">
        <v>68</v>
      </c>
    </row>
    <row r="206" spans="1:7" ht="15" thickBot="1" x14ac:dyDescent="0.4">
      <c r="A206" s="171">
        <f>ROWS($A$6:A206)</f>
        <v>201</v>
      </c>
      <c r="B206" s="168" t="s">
        <v>65</v>
      </c>
      <c r="C206" s="168" t="s">
        <v>635</v>
      </c>
      <c r="D206" s="168" t="s">
        <v>636</v>
      </c>
      <c r="E206" s="168" t="s">
        <v>1281</v>
      </c>
      <c r="F206" s="168" t="s">
        <v>39</v>
      </c>
      <c r="G206" s="168" t="s">
        <v>68</v>
      </c>
    </row>
    <row r="207" spans="1:7" ht="15" thickBot="1" x14ac:dyDescent="0.4">
      <c r="A207" s="171">
        <f>ROWS($A$6:A207)</f>
        <v>202</v>
      </c>
      <c r="B207" s="168" t="s">
        <v>65</v>
      </c>
      <c r="C207" s="168" t="s">
        <v>637</v>
      </c>
      <c r="D207" s="168" t="s">
        <v>638</v>
      </c>
      <c r="E207" s="168" t="s">
        <v>1281</v>
      </c>
      <c r="F207" s="168" t="s">
        <v>38</v>
      </c>
      <c r="G207" s="168" t="s">
        <v>68</v>
      </c>
    </row>
    <row r="208" spans="1:7" ht="15" thickBot="1" x14ac:dyDescent="0.4">
      <c r="A208" s="171">
        <f>ROWS($A$6:A208)</f>
        <v>203</v>
      </c>
      <c r="B208" s="168" t="s">
        <v>65</v>
      </c>
      <c r="C208" s="168" t="s">
        <v>639</v>
      </c>
      <c r="D208" s="168" t="s">
        <v>640</v>
      </c>
      <c r="E208" s="168" t="s">
        <v>1281</v>
      </c>
      <c r="F208" s="168" t="s">
        <v>40</v>
      </c>
      <c r="G208" s="168" t="s">
        <v>68</v>
      </c>
    </row>
    <row r="209" spans="1:7" ht="15" thickBot="1" x14ac:dyDescent="0.4">
      <c r="A209" s="171">
        <f>ROWS($A$6:A209)</f>
        <v>204</v>
      </c>
      <c r="B209" s="168" t="s">
        <v>65</v>
      </c>
      <c r="C209" s="168" t="s">
        <v>641</v>
      </c>
      <c r="D209" s="168" t="s">
        <v>642</v>
      </c>
      <c r="E209" s="168" t="s">
        <v>1281</v>
      </c>
      <c r="F209" s="168" t="s">
        <v>39</v>
      </c>
      <c r="G209" s="168" t="s">
        <v>68</v>
      </c>
    </row>
    <row r="210" spans="1:7" ht="15" thickBot="1" x14ac:dyDescent="0.4">
      <c r="A210" s="171">
        <f>ROWS($A$6:A210)</f>
        <v>205</v>
      </c>
      <c r="B210" s="168" t="s">
        <v>65</v>
      </c>
      <c r="C210" s="168" t="s">
        <v>643</v>
      </c>
      <c r="D210" s="168" t="s">
        <v>644</v>
      </c>
      <c r="E210" s="168" t="s">
        <v>1281</v>
      </c>
      <c r="F210" s="168" t="s">
        <v>41</v>
      </c>
      <c r="G210" s="168" t="s">
        <v>68</v>
      </c>
    </row>
    <row r="211" spans="1:7" ht="15" thickBot="1" x14ac:dyDescent="0.4">
      <c r="A211" s="171">
        <f>ROWS($A$6:A211)</f>
        <v>206</v>
      </c>
      <c r="B211" s="168" t="s">
        <v>65</v>
      </c>
      <c r="C211" s="168" t="s">
        <v>645</v>
      </c>
      <c r="D211" s="168" t="s">
        <v>646</v>
      </c>
      <c r="E211" s="168" t="s">
        <v>1281</v>
      </c>
      <c r="F211" s="168" t="s">
        <v>41</v>
      </c>
      <c r="G211" s="168" t="s">
        <v>68</v>
      </c>
    </row>
    <row r="212" spans="1:7" ht="15" thickBot="1" x14ac:dyDescent="0.4">
      <c r="A212" s="171">
        <f>ROWS($A$6:A212)</f>
        <v>207</v>
      </c>
      <c r="B212" s="168" t="s">
        <v>65</v>
      </c>
      <c r="C212" s="168" t="s">
        <v>647</v>
      </c>
      <c r="D212" s="168" t="s">
        <v>648</v>
      </c>
      <c r="E212" s="168" t="s">
        <v>1281</v>
      </c>
      <c r="F212" s="168" t="s">
        <v>38</v>
      </c>
      <c r="G212" s="168" t="s">
        <v>68</v>
      </c>
    </row>
    <row r="213" spans="1:7" ht="15" thickBot="1" x14ac:dyDescent="0.4">
      <c r="A213" s="171">
        <f>ROWS($A$6:A213)</f>
        <v>208</v>
      </c>
      <c r="B213" s="168" t="s">
        <v>65</v>
      </c>
      <c r="C213" s="168" t="s">
        <v>649</v>
      </c>
      <c r="D213" s="168" t="s">
        <v>650</v>
      </c>
      <c r="E213" s="168" t="s">
        <v>1281</v>
      </c>
      <c r="F213" s="168" t="s">
        <v>41</v>
      </c>
      <c r="G213" s="168" t="s">
        <v>68</v>
      </c>
    </row>
    <row r="214" spans="1:7" ht="15" thickBot="1" x14ac:dyDescent="0.4">
      <c r="A214" s="171">
        <f>ROWS($A$6:A214)</f>
        <v>209</v>
      </c>
      <c r="B214" s="168" t="s">
        <v>65</v>
      </c>
      <c r="C214" s="168" t="s">
        <v>651</v>
      </c>
      <c r="D214" s="168" t="s">
        <v>652</v>
      </c>
      <c r="E214" s="168" t="s">
        <v>1281</v>
      </c>
      <c r="F214" s="168" t="s">
        <v>38</v>
      </c>
      <c r="G214" s="168" t="s">
        <v>68</v>
      </c>
    </row>
    <row r="215" spans="1:7" ht="15" thickBot="1" x14ac:dyDescent="0.4">
      <c r="A215" s="171">
        <f>ROWS($A$6:A215)</f>
        <v>210</v>
      </c>
      <c r="B215" s="168" t="s">
        <v>65</v>
      </c>
      <c r="C215" s="168" t="s">
        <v>653</v>
      </c>
      <c r="D215" s="168" t="s">
        <v>654</v>
      </c>
      <c r="E215" s="168" t="s">
        <v>1281</v>
      </c>
      <c r="F215" s="168" t="s">
        <v>41</v>
      </c>
      <c r="G215" s="168" t="s">
        <v>68</v>
      </c>
    </row>
    <row r="216" spans="1:7" ht="15" thickBot="1" x14ac:dyDescent="0.4">
      <c r="A216" s="171">
        <f>ROWS($A$6:A216)</f>
        <v>211</v>
      </c>
      <c r="B216" s="168" t="s">
        <v>65</v>
      </c>
      <c r="C216" s="168" t="s">
        <v>655</v>
      </c>
      <c r="D216" s="168" t="s">
        <v>656</v>
      </c>
      <c r="E216" s="168" t="s">
        <v>1281</v>
      </c>
      <c r="F216" s="168" t="s">
        <v>41</v>
      </c>
      <c r="G216" s="168" t="s">
        <v>68</v>
      </c>
    </row>
    <row r="217" spans="1:7" ht="15" thickBot="1" x14ac:dyDescent="0.4">
      <c r="A217" s="171">
        <f>ROWS($A$6:A217)</f>
        <v>212</v>
      </c>
      <c r="B217" s="168" t="s">
        <v>65</v>
      </c>
      <c r="C217" s="168" t="s">
        <v>657</v>
      </c>
      <c r="D217" s="168" t="s">
        <v>658</v>
      </c>
      <c r="E217" s="168" t="s">
        <v>1281</v>
      </c>
      <c r="F217" s="168" t="s">
        <v>41</v>
      </c>
      <c r="G217" s="168" t="s">
        <v>68</v>
      </c>
    </row>
    <row r="218" spans="1:7" ht="15" thickBot="1" x14ac:dyDescent="0.4">
      <c r="A218" s="171">
        <f>ROWS($A$6:A218)</f>
        <v>213</v>
      </c>
      <c r="B218" s="168" t="s">
        <v>65</v>
      </c>
      <c r="C218" s="168" t="s">
        <v>659</v>
      </c>
      <c r="D218" s="168" t="s">
        <v>660</v>
      </c>
      <c r="E218" s="168" t="s">
        <v>1281</v>
      </c>
      <c r="F218" s="168" t="s">
        <v>40</v>
      </c>
      <c r="G218" s="168" t="s">
        <v>68</v>
      </c>
    </row>
    <row r="219" spans="1:7" ht="15" thickBot="1" x14ac:dyDescent="0.4">
      <c r="A219" s="171">
        <f>ROWS($A$6:A219)</f>
        <v>214</v>
      </c>
      <c r="B219" s="168" t="s">
        <v>65</v>
      </c>
      <c r="C219" s="168" t="s">
        <v>661</v>
      </c>
      <c r="D219" s="168" t="s">
        <v>662</v>
      </c>
      <c r="E219" s="168" t="s">
        <v>1281</v>
      </c>
      <c r="F219" s="168" t="s">
        <v>39</v>
      </c>
      <c r="G219" s="168" t="s">
        <v>68</v>
      </c>
    </row>
    <row r="220" spans="1:7" ht="15" thickBot="1" x14ac:dyDescent="0.4">
      <c r="A220" s="171">
        <f>ROWS($A$6:A220)</f>
        <v>215</v>
      </c>
      <c r="B220" s="168" t="s">
        <v>65</v>
      </c>
      <c r="C220" s="168" t="s">
        <v>663</v>
      </c>
      <c r="D220" s="168" t="s">
        <v>664</v>
      </c>
      <c r="E220" s="168" t="s">
        <v>1281</v>
      </c>
      <c r="F220" s="168" t="s">
        <v>39</v>
      </c>
      <c r="G220" s="168" t="s">
        <v>68</v>
      </c>
    </row>
    <row r="221" spans="1:7" ht="15" thickBot="1" x14ac:dyDescent="0.4">
      <c r="A221" s="171">
        <f>ROWS($A$6:A221)</f>
        <v>216</v>
      </c>
      <c r="B221" s="168" t="s">
        <v>65</v>
      </c>
      <c r="C221" s="168" t="s">
        <v>665</v>
      </c>
      <c r="D221" s="168" t="s">
        <v>666</v>
      </c>
      <c r="E221" s="168" t="s">
        <v>1281</v>
      </c>
      <c r="F221" s="168" t="s">
        <v>38</v>
      </c>
      <c r="G221" s="168" t="s">
        <v>68</v>
      </c>
    </row>
    <row r="222" spans="1:7" ht="15" thickBot="1" x14ac:dyDescent="0.4">
      <c r="A222" s="171">
        <f>ROWS($A$6:A222)</f>
        <v>217</v>
      </c>
      <c r="B222" s="168" t="s">
        <v>65</v>
      </c>
      <c r="C222" s="168" t="s">
        <v>667</v>
      </c>
      <c r="D222" s="168" t="s">
        <v>668</v>
      </c>
      <c r="E222" s="168" t="s">
        <v>1281</v>
      </c>
      <c r="F222" s="168" t="s">
        <v>39</v>
      </c>
      <c r="G222" s="168" t="s">
        <v>68</v>
      </c>
    </row>
    <row r="223" spans="1:7" ht="15" thickBot="1" x14ac:dyDescent="0.4">
      <c r="A223" s="171">
        <f>ROWS($A$6:A223)</f>
        <v>218</v>
      </c>
      <c r="B223" s="168" t="s">
        <v>65</v>
      </c>
      <c r="C223" s="168" t="s">
        <v>669</v>
      </c>
      <c r="D223" s="168" t="s">
        <v>670</v>
      </c>
      <c r="E223" s="168" t="s">
        <v>1281</v>
      </c>
      <c r="F223" s="168" t="s">
        <v>39</v>
      </c>
      <c r="G223" s="168" t="s">
        <v>68</v>
      </c>
    </row>
    <row r="224" spans="1:7" ht="15" thickBot="1" x14ac:dyDescent="0.4">
      <c r="A224" s="171">
        <f>ROWS($A$6:A224)</f>
        <v>219</v>
      </c>
      <c r="B224" s="168" t="s">
        <v>65</v>
      </c>
      <c r="C224" s="168" t="s">
        <v>671</v>
      </c>
      <c r="D224" s="168" t="s">
        <v>672</v>
      </c>
      <c r="E224" s="168" t="s">
        <v>1281</v>
      </c>
      <c r="F224" s="168" t="s">
        <v>39</v>
      </c>
      <c r="G224" s="168" t="s">
        <v>68</v>
      </c>
    </row>
    <row r="225" spans="1:7" ht="15" thickBot="1" x14ac:dyDescent="0.4">
      <c r="A225" s="171">
        <f>ROWS($A$6:A225)</f>
        <v>220</v>
      </c>
      <c r="B225" s="168" t="s">
        <v>65</v>
      </c>
      <c r="C225" s="168" t="s">
        <v>673</v>
      </c>
      <c r="D225" s="168" t="s">
        <v>674</v>
      </c>
      <c r="E225" s="168" t="s">
        <v>1281</v>
      </c>
      <c r="F225" s="168" t="s">
        <v>40</v>
      </c>
      <c r="G225" s="168" t="s">
        <v>68</v>
      </c>
    </row>
    <row r="226" spans="1:7" ht="15" thickBot="1" x14ac:dyDescent="0.4">
      <c r="A226" s="171">
        <f>ROWS($A$6:A226)</f>
        <v>221</v>
      </c>
      <c r="B226" s="168" t="s">
        <v>65</v>
      </c>
      <c r="C226" s="168" t="s">
        <v>675</v>
      </c>
      <c r="D226" s="168" t="s">
        <v>676</v>
      </c>
      <c r="E226" s="168" t="s">
        <v>1281</v>
      </c>
      <c r="F226" s="168" t="s">
        <v>38</v>
      </c>
      <c r="G226" s="168" t="s">
        <v>68</v>
      </c>
    </row>
    <row r="227" spans="1:7" ht="15" thickBot="1" x14ac:dyDescent="0.4">
      <c r="A227" s="171">
        <f>ROWS($A$6:A227)</f>
        <v>222</v>
      </c>
      <c r="B227" s="168" t="s">
        <v>65</v>
      </c>
      <c r="C227" s="168" t="s">
        <v>677</v>
      </c>
      <c r="D227" s="168" t="s">
        <v>677</v>
      </c>
      <c r="E227" s="168" t="s">
        <v>1281</v>
      </c>
      <c r="F227" s="168" t="s">
        <v>41</v>
      </c>
      <c r="G227" s="168" t="s">
        <v>68</v>
      </c>
    </row>
    <row r="228" spans="1:7" ht="15" thickBot="1" x14ac:dyDescent="0.4">
      <c r="A228" s="171">
        <f>ROWS($A$6:A228)</f>
        <v>223</v>
      </c>
      <c r="B228" s="168" t="s">
        <v>65</v>
      </c>
      <c r="C228" s="168" t="s">
        <v>678</v>
      </c>
      <c r="D228" s="168" t="s">
        <v>679</v>
      </c>
      <c r="E228" s="168" t="s">
        <v>1281</v>
      </c>
      <c r="F228" s="168" t="s">
        <v>38</v>
      </c>
      <c r="G228" s="168" t="s">
        <v>68</v>
      </c>
    </row>
    <row r="229" spans="1:7" ht="15" thickBot="1" x14ac:dyDescent="0.4">
      <c r="A229" s="171">
        <f>ROWS($A$6:A229)</f>
        <v>224</v>
      </c>
      <c r="B229" s="168" t="s">
        <v>65</v>
      </c>
      <c r="C229" s="168" t="s">
        <v>680</v>
      </c>
      <c r="D229" s="168" t="s">
        <v>681</v>
      </c>
      <c r="E229" s="168" t="s">
        <v>1281</v>
      </c>
      <c r="F229" s="168" t="s">
        <v>41</v>
      </c>
      <c r="G229" s="168" t="s">
        <v>68</v>
      </c>
    </row>
    <row r="230" spans="1:7" ht="15" thickBot="1" x14ac:dyDescent="0.4">
      <c r="A230" s="171">
        <f>ROWS($A$6:A230)</f>
        <v>225</v>
      </c>
      <c r="B230" s="168" t="s">
        <v>65</v>
      </c>
      <c r="C230" s="168" t="s">
        <v>682</v>
      </c>
      <c r="D230" s="168" t="s">
        <v>683</v>
      </c>
      <c r="E230" s="168" t="s">
        <v>1281</v>
      </c>
      <c r="F230" s="168" t="s">
        <v>40</v>
      </c>
      <c r="G230" s="168" t="s">
        <v>68</v>
      </c>
    </row>
    <row r="231" spans="1:7" ht="15" thickBot="1" x14ac:dyDescent="0.4">
      <c r="A231" s="171">
        <f>ROWS($A$6:A231)</f>
        <v>226</v>
      </c>
      <c r="B231" s="168" t="s">
        <v>65</v>
      </c>
      <c r="C231" s="168" t="s">
        <v>684</v>
      </c>
      <c r="D231" s="168" t="s">
        <v>685</v>
      </c>
      <c r="E231" s="168" t="s">
        <v>1281</v>
      </c>
      <c r="F231" s="168" t="s">
        <v>38</v>
      </c>
      <c r="G231" s="168" t="s">
        <v>68</v>
      </c>
    </row>
    <row r="232" spans="1:7" ht="15" thickBot="1" x14ac:dyDescent="0.4">
      <c r="A232" s="171">
        <f>ROWS($A$6:A232)</f>
        <v>227</v>
      </c>
      <c r="B232" s="168" t="s">
        <v>65</v>
      </c>
      <c r="C232" s="168" t="s">
        <v>686</v>
      </c>
      <c r="D232" s="168" t="s">
        <v>687</v>
      </c>
      <c r="E232" s="168" t="s">
        <v>1281</v>
      </c>
      <c r="F232" s="168" t="s">
        <v>38</v>
      </c>
      <c r="G232" s="168" t="s">
        <v>68</v>
      </c>
    </row>
    <row r="233" spans="1:7" ht="15" thickBot="1" x14ac:dyDescent="0.4">
      <c r="A233" s="171">
        <f>ROWS($A$6:A233)</f>
        <v>228</v>
      </c>
      <c r="B233" s="168" t="s">
        <v>65</v>
      </c>
      <c r="C233" s="168" t="s">
        <v>688</v>
      </c>
      <c r="D233" s="168" t="s">
        <v>689</v>
      </c>
      <c r="E233" s="168" t="s">
        <v>1281</v>
      </c>
      <c r="F233" s="168" t="s">
        <v>38</v>
      </c>
      <c r="G233" s="168" t="s">
        <v>68</v>
      </c>
    </row>
    <row r="234" spans="1:7" ht="15" thickBot="1" x14ac:dyDescent="0.4">
      <c r="A234" s="171">
        <f>ROWS($A$6:A234)</f>
        <v>229</v>
      </c>
      <c r="B234" s="168" t="s">
        <v>65</v>
      </c>
      <c r="C234" s="168" t="s">
        <v>690</v>
      </c>
      <c r="D234" s="168" t="s">
        <v>691</v>
      </c>
      <c r="E234" s="168" t="s">
        <v>1281</v>
      </c>
      <c r="F234" s="168" t="s">
        <v>40</v>
      </c>
      <c r="G234" s="168" t="s">
        <v>68</v>
      </c>
    </row>
    <row r="235" spans="1:7" ht="15" thickBot="1" x14ac:dyDescent="0.4">
      <c r="A235" s="171">
        <f>ROWS($A$6:A235)</f>
        <v>230</v>
      </c>
      <c r="B235" s="168" t="s">
        <v>65</v>
      </c>
      <c r="C235" s="168" t="s">
        <v>692</v>
      </c>
      <c r="D235" s="168" t="s">
        <v>693</v>
      </c>
      <c r="E235" s="168" t="s">
        <v>1281</v>
      </c>
      <c r="F235" s="168" t="s">
        <v>41</v>
      </c>
      <c r="G235" s="168" t="s">
        <v>68</v>
      </c>
    </row>
    <row r="236" spans="1:7" ht="15" thickBot="1" x14ac:dyDescent="0.4">
      <c r="A236" s="171">
        <f>ROWS($A$6:A236)</f>
        <v>231</v>
      </c>
      <c r="B236" s="168" t="s">
        <v>65</v>
      </c>
      <c r="C236" s="168" t="s">
        <v>694</v>
      </c>
      <c r="D236" s="168" t="s">
        <v>695</v>
      </c>
      <c r="E236" s="168" t="s">
        <v>1281</v>
      </c>
      <c r="F236" s="168" t="s">
        <v>41</v>
      </c>
      <c r="G236" s="168" t="s">
        <v>68</v>
      </c>
    </row>
    <row r="237" spans="1:7" ht="15" thickBot="1" x14ac:dyDescent="0.4">
      <c r="A237" s="171">
        <f>ROWS($A$6:A237)</f>
        <v>232</v>
      </c>
      <c r="B237" s="168" t="s">
        <v>65</v>
      </c>
      <c r="C237" s="168" t="s">
        <v>696</v>
      </c>
      <c r="D237" s="168" t="s">
        <v>697</v>
      </c>
      <c r="E237" s="168" t="s">
        <v>1281</v>
      </c>
      <c r="F237" s="168" t="s">
        <v>38</v>
      </c>
      <c r="G237" s="168" t="s">
        <v>68</v>
      </c>
    </row>
    <row r="238" spans="1:7" ht="15" thickBot="1" x14ac:dyDescent="0.4">
      <c r="A238" s="171">
        <f>ROWS($A$6:A238)</f>
        <v>233</v>
      </c>
      <c r="B238" s="168" t="s">
        <v>65</v>
      </c>
      <c r="C238" s="168" t="s">
        <v>698</v>
      </c>
      <c r="D238" s="168" t="s">
        <v>699</v>
      </c>
      <c r="E238" s="168" t="s">
        <v>1281</v>
      </c>
      <c r="F238" s="168" t="s">
        <v>40</v>
      </c>
      <c r="G238" s="168" t="s">
        <v>68</v>
      </c>
    </row>
    <row r="239" spans="1:7" ht="15" thickBot="1" x14ac:dyDescent="0.4">
      <c r="A239" s="171">
        <f>ROWS($A$6:A239)</f>
        <v>234</v>
      </c>
      <c r="B239" s="168" t="s">
        <v>65</v>
      </c>
      <c r="C239" s="168" t="s">
        <v>700</v>
      </c>
      <c r="D239" s="168" t="s">
        <v>701</v>
      </c>
      <c r="E239" s="168" t="s">
        <v>1281</v>
      </c>
      <c r="F239" s="168" t="s">
        <v>38</v>
      </c>
      <c r="G239" s="168" t="s">
        <v>68</v>
      </c>
    </row>
    <row r="240" spans="1:7" ht="15" thickBot="1" x14ac:dyDescent="0.4">
      <c r="A240" s="171">
        <f>ROWS($A$6:A240)</f>
        <v>235</v>
      </c>
      <c r="B240" s="168" t="s">
        <v>65</v>
      </c>
      <c r="C240" s="168" t="s">
        <v>702</v>
      </c>
      <c r="D240" s="168" t="s">
        <v>703</v>
      </c>
      <c r="E240" s="168" t="s">
        <v>1281</v>
      </c>
      <c r="F240" s="168" t="s">
        <v>38</v>
      </c>
      <c r="G240" s="168" t="s">
        <v>68</v>
      </c>
    </row>
    <row r="241" spans="1:7" ht="15" thickBot="1" x14ac:dyDescent="0.4">
      <c r="A241" s="171">
        <f>ROWS($A$6:A241)</f>
        <v>236</v>
      </c>
      <c r="B241" s="168" t="s">
        <v>65</v>
      </c>
      <c r="C241" s="168" t="s">
        <v>704</v>
      </c>
      <c r="D241" s="168" t="s">
        <v>705</v>
      </c>
      <c r="E241" s="168" t="s">
        <v>1281</v>
      </c>
      <c r="F241" s="168" t="s">
        <v>39</v>
      </c>
      <c r="G241" s="168" t="s">
        <v>68</v>
      </c>
    </row>
    <row r="242" spans="1:7" ht="15" thickBot="1" x14ac:dyDescent="0.4">
      <c r="A242" s="171">
        <f>ROWS($A$6:A242)</f>
        <v>237</v>
      </c>
      <c r="B242" s="168" t="s">
        <v>65</v>
      </c>
      <c r="C242" s="168" t="s">
        <v>706</v>
      </c>
      <c r="D242" s="168" t="s">
        <v>707</v>
      </c>
      <c r="E242" s="168" t="s">
        <v>1281</v>
      </c>
      <c r="F242" s="168" t="s">
        <v>39</v>
      </c>
      <c r="G242" s="168" t="s">
        <v>68</v>
      </c>
    </row>
    <row r="243" spans="1:7" ht="15" thickBot="1" x14ac:dyDescent="0.4">
      <c r="A243" s="171">
        <f>ROWS($A$6:A243)</f>
        <v>238</v>
      </c>
      <c r="B243" s="168" t="s">
        <v>65</v>
      </c>
      <c r="C243" s="168" t="s">
        <v>708</v>
      </c>
      <c r="D243" s="168" t="s">
        <v>709</v>
      </c>
      <c r="E243" s="168" t="s">
        <v>1281</v>
      </c>
      <c r="F243" s="168" t="s">
        <v>40</v>
      </c>
      <c r="G243" s="168" t="s">
        <v>68</v>
      </c>
    </row>
    <row r="244" spans="1:7" ht="15" thickBot="1" x14ac:dyDescent="0.4">
      <c r="A244" s="171">
        <f>ROWS($A$6:A244)</f>
        <v>239</v>
      </c>
      <c r="B244" s="168" t="s">
        <v>65</v>
      </c>
      <c r="C244" s="168" t="s">
        <v>710</v>
      </c>
      <c r="D244" s="168" t="s">
        <v>711</v>
      </c>
      <c r="E244" s="168" t="s">
        <v>1281</v>
      </c>
      <c r="F244" s="168" t="s">
        <v>38</v>
      </c>
      <c r="G244" s="168" t="s">
        <v>68</v>
      </c>
    </row>
    <row r="245" spans="1:7" ht="15" thickBot="1" x14ac:dyDescent="0.4">
      <c r="A245" s="171">
        <f>ROWS($A$6:A245)</f>
        <v>240</v>
      </c>
      <c r="B245" s="168" t="s">
        <v>65</v>
      </c>
      <c r="C245" s="168" t="s">
        <v>712</v>
      </c>
      <c r="D245" s="168" t="s">
        <v>713</v>
      </c>
      <c r="E245" s="168" t="s">
        <v>1281</v>
      </c>
      <c r="F245" s="168" t="s">
        <v>37</v>
      </c>
      <c r="G245" s="168" t="s">
        <v>67</v>
      </c>
    </row>
    <row r="246" spans="1:7" ht="15" thickBot="1" x14ac:dyDescent="0.4">
      <c r="A246" s="171">
        <f>ROWS($A$6:A246)</f>
        <v>241</v>
      </c>
      <c r="B246" s="168" t="s">
        <v>65</v>
      </c>
      <c r="C246" s="168" t="s">
        <v>714</v>
      </c>
      <c r="D246" s="168" t="s">
        <v>715</v>
      </c>
      <c r="E246" s="168" t="s">
        <v>1281</v>
      </c>
      <c r="F246" s="168" t="s">
        <v>37</v>
      </c>
      <c r="G246" s="168" t="s">
        <v>67</v>
      </c>
    </row>
    <row r="247" spans="1:7" ht="15" thickBot="1" x14ac:dyDescent="0.4">
      <c r="A247" s="171">
        <f>ROWS($A$6:A247)</f>
        <v>242</v>
      </c>
      <c r="B247" s="168" t="s">
        <v>65</v>
      </c>
      <c r="C247" s="168" t="s">
        <v>716</v>
      </c>
      <c r="D247" s="168" t="s">
        <v>717</v>
      </c>
      <c r="E247" s="168" t="s">
        <v>1281</v>
      </c>
      <c r="F247" s="168" t="s">
        <v>38</v>
      </c>
      <c r="G247" s="168" t="s">
        <v>68</v>
      </c>
    </row>
    <row r="248" spans="1:7" ht="15" thickBot="1" x14ac:dyDescent="0.4">
      <c r="A248" s="171">
        <f>ROWS($A$6:A248)</f>
        <v>243</v>
      </c>
      <c r="B248" s="168" t="s">
        <v>65</v>
      </c>
      <c r="C248" s="168" t="s">
        <v>718</v>
      </c>
      <c r="D248" s="168" t="s">
        <v>719</v>
      </c>
      <c r="E248" s="168" t="s">
        <v>1281</v>
      </c>
      <c r="F248" s="168" t="s">
        <v>38</v>
      </c>
      <c r="G248" s="168" t="s">
        <v>68</v>
      </c>
    </row>
    <row r="249" spans="1:7" ht="15" thickBot="1" x14ac:dyDescent="0.4">
      <c r="A249" s="171">
        <f>ROWS($A$6:A249)</f>
        <v>244</v>
      </c>
      <c r="B249" s="168" t="s">
        <v>65</v>
      </c>
      <c r="C249" s="168" t="s">
        <v>720</v>
      </c>
      <c r="D249" s="168" t="s">
        <v>721</v>
      </c>
      <c r="E249" s="168" t="s">
        <v>1281</v>
      </c>
      <c r="F249" s="168" t="s">
        <v>40</v>
      </c>
      <c r="G249" s="168" t="s">
        <v>68</v>
      </c>
    </row>
    <row r="250" spans="1:7" ht="15" thickBot="1" x14ac:dyDescent="0.4">
      <c r="A250" s="171">
        <f>ROWS($A$6:A250)</f>
        <v>245</v>
      </c>
      <c r="B250" s="168" t="s">
        <v>65</v>
      </c>
      <c r="C250" s="168" t="s">
        <v>722</v>
      </c>
      <c r="D250" s="168" t="s">
        <v>723</v>
      </c>
      <c r="E250" s="168" t="s">
        <v>1281</v>
      </c>
      <c r="F250" s="168" t="s">
        <v>40</v>
      </c>
      <c r="G250" s="168" t="s">
        <v>68</v>
      </c>
    </row>
    <row r="251" spans="1:7" ht="15" thickBot="1" x14ac:dyDescent="0.4">
      <c r="A251" s="171">
        <f>ROWS($A$6:A251)</f>
        <v>246</v>
      </c>
      <c r="B251" s="168" t="s">
        <v>65</v>
      </c>
      <c r="C251" s="168" t="s">
        <v>718</v>
      </c>
      <c r="D251" s="168" t="s">
        <v>724</v>
      </c>
      <c r="E251" s="168" t="s">
        <v>1281</v>
      </c>
      <c r="F251" s="168" t="s">
        <v>41</v>
      </c>
      <c r="G251" s="168" t="s">
        <v>68</v>
      </c>
    </row>
    <row r="252" spans="1:7" ht="15" thickBot="1" x14ac:dyDescent="0.4">
      <c r="A252" s="171">
        <f>ROWS($A$6:A252)</f>
        <v>247</v>
      </c>
      <c r="B252" s="168" t="s">
        <v>65</v>
      </c>
      <c r="C252" s="168" t="s">
        <v>725</v>
      </c>
      <c r="D252" s="168" t="s">
        <v>726</v>
      </c>
      <c r="E252" s="168" t="s">
        <v>1281</v>
      </c>
      <c r="F252" s="168" t="s">
        <v>39</v>
      </c>
      <c r="G252" s="168" t="s">
        <v>68</v>
      </c>
    </row>
    <row r="253" spans="1:7" ht="15" thickBot="1" x14ac:dyDescent="0.4">
      <c r="A253" s="171">
        <f>ROWS($A$6:A253)</f>
        <v>248</v>
      </c>
      <c r="B253" s="168" t="s">
        <v>65</v>
      </c>
      <c r="C253" s="168" t="s">
        <v>727</v>
      </c>
      <c r="D253" s="168" t="s">
        <v>728</v>
      </c>
      <c r="E253" s="168" t="s">
        <v>1281</v>
      </c>
      <c r="F253" s="168" t="s">
        <v>38</v>
      </c>
      <c r="G253" s="168" t="s">
        <v>68</v>
      </c>
    </row>
    <row r="254" spans="1:7" ht="15" thickBot="1" x14ac:dyDescent="0.4">
      <c r="A254" s="171">
        <f>ROWS($A$6:A254)</f>
        <v>249</v>
      </c>
      <c r="B254" s="168" t="s">
        <v>65</v>
      </c>
      <c r="C254" s="168" t="s">
        <v>729</v>
      </c>
      <c r="D254" s="168" t="s">
        <v>730</v>
      </c>
      <c r="E254" s="168" t="s">
        <v>1281</v>
      </c>
      <c r="F254" s="168" t="s">
        <v>37</v>
      </c>
      <c r="G254" s="168" t="s">
        <v>67</v>
      </c>
    </row>
    <row r="255" spans="1:7" ht="15" thickBot="1" x14ac:dyDescent="0.4">
      <c r="A255" s="171">
        <f>ROWS($A$6:A255)</f>
        <v>250</v>
      </c>
      <c r="B255" s="168" t="s">
        <v>65</v>
      </c>
      <c r="C255" s="168" t="s">
        <v>731</v>
      </c>
      <c r="D255" s="168" t="s">
        <v>732</v>
      </c>
      <c r="E255" s="168" t="s">
        <v>1281</v>
      </c>
      <c r="F255" s="168" t="s">
        <v>39</v>
      </c>
      <c r="G255" s="168" t="s">
        <v>68</v>
      </c>
    </row>
    <row r="256" spans="1:7" ht="15" thickBot="1" x14ac:dyDescent="0.4">
      <c r="A256" s="171">
        <f>ROWS($A$6:A256)</f>
        <v>251</v>
      </c>
      <c r="B256" s="168" t="s">
        <v>65</v>
      </c>
      <c r="C256" s="168" t="s">
        <v>733</v>
      </c>
      <c r="D256" s="168" t="s">
        <v>734</v>
      </c>
      <c r="E256" s="168" t="s">
        <v>1281</v>
      </c>
      <c r="F256" s="168" t="s">
        <v>40</v>
      </c>
      <c r="G256" s="168" t="s">
        <v>68</v>
      </c>
    </row>
    <row r="257" spans="1:7" ht="15" thickBot="1" x14ac:dyDescent="0.4">
      <c r="A257" s="171">
        <f>ROWS($A$6:A257)</f>
        <v>252</v>
      </c>
      <c r="B257" s="168" t="s">
        <v>65</v>
      </c>
      <c r="C257" s="168" t="s">
        <v>735</v>
      </c>
      <c r="D257" s="168" t="s">
        <v>736</v>
      </c>
      <c r="E257" s="168" t="s">
        <v>1281</v>
      </c>
      <c r="F257" s="168" t="s">
        <v>37</v>
      </c>
      <c r="G257" s="168" t="s">
        <v>67</v>
      </c>
    </row>
    <row r="258" spans="1:7" ht="15" thickBot="1" x14ac:dyDescent="0.4">
      <c r="A258" s="171">
        <f>ROWS($A$6:A258)</f>
        <v>253</v>
      </c>
      <c r="B258" s="168" t="s">
        <v>65</v>
      </c>
      <c r="C258" s="168" t="s">
        <v>737</v>
      </c>
      <c r="D258" s="168" t="s">
        <v>738</v>
      </c>
      <c r="E258" s="168" t="s">
        <v>1281</v>
      </c>
      <c r="F258" s="168" t="s">
        <v>39</v>
      </c>
      <c r="G258" s="168" t="s">
        <v>68</v>
      </c>
    </row>
    <row r="259" spans="1:7" ht="15" thickBot="1" x14ac:dyDescent="0.4">
      <c r="A259" s="171">
        <f>ROWS($A$6:A259)</f>
        <v>254</v>
      </c>
      <c r="B259" s="168" t="s">
        <v>65</v>
      </c>
      <c r="C259" s="168" t="s">
        <v>739</v>
      </c>
      <c r="D259" s="168" t="s">
        <v>740</v>
      </c>
      <c r="E259" s="168" t="s">
        <v>1281</v>
      </c>
      <c r="F259" s="168" t="s">
        <v>41</v>
      </c>
      <c r="G259" s="168" t="s">
        <v>68</v>
      </c>
    </row>
    <row r="260" spans="1:7" ht="15" thickBot="1" x14ac:dyDescent="0.4">
      <c r="A260" s="171">
        <f>ROWS($A$6:A260)</f>
        <v>255</v>
      </c>
      <c r="B260" s="168" t="s">
        <v>65</v>
      </c>
      <c r="C260" s="168" t="s">
        <v>741</v>
      </c>
      <c r="D260" s="168" t="s">
        <v>742</v>
      </c>
      <c r="E260" s="168" t="s">
        <v>1281</v>
      </c>
      <c r="F260" s="168" t="s">
        <v>38</v>
      </c>
      <c r="G260" s="168" t="s">
        <v>68</v>
      </c>
    </row>
    <row r="261" spans="1:7" ht="15" thickBot="1" x14ac:dyDescent="0.4">
      <c r="A261" s="171">
        <f>ROWS($A$6:A261)</f>
        <v>256</v>
      </c>
      <c r="B261" s="168" t="s">
        <v>65</v>
      </c>
      <c r="C261" s="168" t="s">
        <v>743</v>
      </c>
      <c r="D261" s="168" t="s">
        <v>744</v>
      </c>
      <c r="E261" s="168" t="s">
        <v>1281</v>
      </c>
      <c r="F261" s="168" t="s">
        <v>41</v>
      </c>
      <c r="G261" s="168" t="s">
        <v>68</v>
      </c>
    </row>
    <row r="262" spans="1:7" ht="15" thickBot="1" x14ac:dyDescent="0.4">
      <c r="A262" s="171">
        <f>ROWS($A$6:A262)</f>
        <v>257</v>
      </c>
      <c r="B262" s="168" t="s">
        <v>65</v>
      </c>
      <c r="C262" s="168" t="s">
        <v>745</v>
      </c>
      <c r="D262" s="168" t="s">
        <v>746</v>
      </c>
      <c r="E262" s="168" t="s">
        <v>1281</v>
      </c>
      <c r="F262" s="168" t="s">
        <v>39</v>
      </c>
      <c r="G262" s="168" t="s">
        <v>68</v>
      </c>
    </row>
    <row r="263" spans="1:7" ht="15" thickBot="1" x14ac:dyDescent="0.4">
      <c r="A263" s="171">
        <f>ROWS($A$6:A263)</f>
        <v>258</v>
      </c>
      <c r="B263" s="168" t="s">
        <v>65</v>
      </c>
      <c r="C263" s="168" t="s">
        <v>747</v>
      </c>
      <c r="D263" s="168" t="s">
        <v>748</v>
      </c>
      <c r="E263" s="168" t="s">
        <v>1281</v>
      </c>
      <c r="F263" s="168" t="s">
        <v>38</v>
      </c>
      <c r="G263" s="168" t="s">
        <v>68</v>
      </c>
    </row>
    <row r="264" spans="1:7" ht="15" thickBot="1" x14ac:dyDescent="0.4">
      <c r="A264" s="171">
        <f>ROWS($A$6:A264)</f>
        <v>259</v>
      </c>
      <c r="B264" s="168" t="s">
        <v>65</v>
      </c>
      <c r="C264" s="168" t="s">
        <v>749</v>
      </c>
      <c r="D264" s="168" t="s">
        <v>750</v>
      </c>
      <c r="E264" s="168" t="s">
        <v>1281</v>
      </c>
      <c r="F264" s="168" t="s">
        <v>41</v>
      </c>
      <c r="G264" s="168" t="s">
        <v>68</v>
      </c>
    </row>
    <row r="265" spans="1:7" ht="15" thickBot="1" x14ac:dyDescent="0.4">
      <c r="A265" s="171">
        <f>ROWS($A$6:A265)</f>
        <v>260</v>
      </c>
      <c r="B265" s="168" t="s">
        <v>65</v>
      </c>
      <c r="C265" s="168" t="s">
        <v>751</v>
      </c>
      <c r="D265" s="168" t="s">
        <v>752</v>
      </c>
      <c r="E265" s="168" t="s">
        <v>1281</v>
      </c>
      <c r="F265" s="168" t="s">
        <v>37</v>
      </c>
      <c r="G265" s="168" t="s">
        <v>67</v>
      </c>
    </row>
    <row r="266" spans="1:7" ht="15" thickBot="1" x14ac:dyDescent="0.4">
      <c r="A266" s="171">
        <f>ROWS($A$6:A266)</f>
        <v>261</v>
      </c>
      <c r="B266" s="168" t="s">
        <v>65</v>
      </c>
      <c r="C266" s="168" t="s">
        <v>753</v>
      </c>
      <c r="D266" s="168" t="s">
        <v>754</v>
      </c>
      <c r="E266" s="168" t="s">
        <v>1281</v>
      </c>
      <c r="F266" s="168" t="s">
        <v>39</v>
      </c>
      <c r="G266" s="168" t="s">
        <v>68</v>
      </c>
    </row>
    <row r="267" spans="1:7" ht="15" thickBot="1" x14ac:dyDescent="0.4">
      <c r="A267" s="171">
        <f>ROWS($A$6:A267)</f>
        <v>262</v>
      </c>
      <c r="B267" s="168" t="s">
        <v>65</v>
      </c>
      <c r="C267" s="168" t="s">
        <v>755</v>
      </c>
      <c r="D267" s="168" t="s">
        <v>756</v>
      </c>
      <c r="E267" s="168" t="s">
        <v>1281</v>
      </c>
      <c r="F267" s="168" t="s">
        <v>40</v>
      </c>
      <c r="G267" s="168" t="s">
        <v>68</v>
      </c>
    </row>
    <row r="268" spans="1:7" ht="15" thickBot="1" x14ac:dyDescent="0.4">
      <c r="A268" s="171">
        <f>ROWS($A$6:A268)</f>
        <v>263</v>
      </c>
      <c r="B268" s="168" t="s">
        <v>65</v>
      </c>
      <c r="C268" s="168" t="s">
        <v>757</v>
      </c>
      <c r="D268" s="168" t="s">
        <v>758</v>
      </c>
      <c r="E268" s="168" t="s">
        <v>1281</v>
      </c>
      <c r="F268" s="168" t="s">
        <v>39</v>
      </c>
      <c r="G268" s="168" t="s">
        <v>68</v>
      </c>
    </row>
    <row r="269" spans="1:7" ht="15" thickBot="1" x14ac:dyDescent="0.4">
      <c r="A269" s="171">
        <f>ROWS($A$6:A269)</f>
        <v>264</v>
      </c>
      <c r="B269" s="168" t="s">
        <v>65</v>
      </c>
      <c r="C269" s="168" t="s">
        <v>759</v>
      </c>
      <c r="D269" s="168" t="s">
        <v>760</v>
      </c>
      <c r="E269" s="168" t="s">
        <v>1281</v>
      </c>
      <c r="F269" s="168" t="s">
        <v>39</v>
      </c>
      <c r="G269" s="168" t="s">
        <v>68</v>
      </c>
    </row>
    <row r="270" spans="1:7" ht="15" thickBot="1" x14ac:dyDescent="0.4">
      <c r="A270" s="171">
        <f>ROWS($A$6:A270)</f>
        <v>265</v>
      </c>
      <c r="B270" s="168" t="s">
        <v>65</v>
      </c>
      <c r="C270" s="168" t="s">
        <v>761</v>
      </c>
      <c r="D270" s="168" t="s">
        <v>762</v>
      </c>
      <c r="E270" s="168" t="s">
        <v>1281</v>
      </c>
      <c r="F270" s="168" t="s">
        <v>38</v>
      </c>
      <c r="G270" s="168" t="s">
        <v>68</v>
      </c>
    </row>
    <row r="271" spans="1:7" ht="15" thickBot="1" x14ac:dyDescent="0.4">
      <c r="A271" s="171">
        <f>ROWS($A$6:A271)</f>
        <v>266</v>
      </c>
      <c r="B271" s="168" t="s">
        <v>65</v>
      </c>
      <c r="C271" s="168" t="s">
        <v>763</v>
      </c>
      <c r="D271" s="168" t="s">
        <v>764</v>
      </c>
      <c r="E271" s="168" t="s">
        <v>1281</v>
      </c>
      <c r="F271" s="168" t="s">
        <v>38</v>
      </c>
      <c r="G271" s="168" t="s">
        <v>68</v>
      </c>
    </row>
    <row r="272" spans="1:7" ht="15" thickBot="1" x14ac:dyDescent="0.4">
      <c r="A272" s="171">
        <f>ROWS($A$6:A272)</f>
        <v>267</v>
      </c>
      <c r="B272" s="168" t="s">
        <v>65</v>
      </c>
      <c r="C272" s="168" t="s">
        <v>765</v>
      </c>
      <c r="D272" s="168" t="s">
        <v>766</v>
      </c>
      <c r="E272" s="168" t="s">
        <v>1281</v>
      </c>
      <c r="F272" s="168" t="s">
        <v>40</v>
      </c>
      <c r="G272" s="168" t="s">
        <v>68</v>
      </c>
    </row>
    <row r="273" spans="1:7" ht="15" thickBot="1" x14ac:dyDescent="0.4">
      <c r="A273" s="171">
        <f>ROWS($A$6:A273)</f>
        <v>268</v>
      </c>
      <c r="B273" s="168" t="s">
        <v>65</v>
      </c>
      <c r="C273" s="168" t="s">
        <v>767</v>
      </c>
      <c r="D273" s="168" t="s">
        <v>768</v>
      </c>
      <c r="E273" s="168" t="s">
        <v>1281</v>
      </c>
      <c r="F273" s="168" t="s">
        <v>38</v>
      </c>
      <c r="G273" s="168" t="s">
        <v>68</v>
      </c>
    </row>
    <row r="274" spans="1:7" ht="15" thickBot="1" x14ac:dyDescent="0.4">
      <c r="A274" s="171">
        <f>ROWS($A$6:A274)</f>
        <v>269</v>
      </c>
      <c r="B274" s="168" t="s">
        <v>65</v>
      </c>
      <c r="C274" s="168" t="s">
        <v>769</v>
      </c>
      <c r="D274" s="168" t="s">
        <v>770</v>
      </c>
      <c r="E274" s="168" t="s">
        <v>1281</v>
      </c>
      <c r="F274" s="168" t="s">
        <v>39</v>
      </c>
      <c r="G274" s="168" t="s">
        <v>68</v>
      </c>
    </row>
    <row r="275" spans="1:7" ht="15" thickBot="1" x14ac:dyDescent="0.4">
      <c r="A275" s="171">
        <f>ROWS($A$6:A275)</f>
        <v>270</v>
      </c>
      <c r="B275" s="168" t="s">
        <v>65</v>
      </c>
      <c r="C275" s="168" t="s">
        <v>771</v>
      </c>
      <c r="D275" s="168" t="s">
        <v>772</v>
      </c>
      <c r="E275" s="168" t="s">
        <v>1281</v>
      </c>
      <c r="F275" s="168" t="s">
        <v>39</v>
      </c>
      <c r="G275" s="168" t="s">
        <v>68</v>
      </c>
    </row>
    <row r="276" spans="1:7" ht="15" thickBot="1" x14ac:dyDescent="0.4">
      <c r="A276" s="171">
        <f>ROWS($A$6:A276)</f>
        <v>271</v>
      </c>
      <c r="B276" s="168" t="s">
        <v>65</v>
      </c>
      <c r="C276" s="168" t="s">
        <v>773</v>
      </c>
      <c r="D276" s="168" t="s">
        <v>774</v>
      </c>
      <c r="E276" s="168" t="s">
        <v>1281</v>
      </c>
      <c r="F276" s="168" t="s">
        <v>37</v>
      </c>
      <c r="G276" s="168" t="s">
        <v>67</v>
      </c>
    </row>
    <row r="277" spans="1:7" ht="15" thickBot="1" x14ac:dyDescent="0.4">
      <c r="A277" s="171">
        <f>ROWS($A$6:A277)</f>
        <v>272</v>
      </c>
      <c r="B277" s="168" t="s">
        <v>65</v>
      </c>
      <c r="C277" s="168" t="s">
        <v>775</v>
      </c>
      <c r="D277" s="168" t="s">
        <v>776</v>
      </c>
      <c r="E277" s="168" t="s">
        <v>1281</v>
      </c>
      <c r="F277" s="168" t="s">
        <v>40</v>
      </c>
      <c r="G277" s="168" t="s">
        <v>68</v>
      </c>
    </row>
    <row r="278" spans="1:7" ht="15" thickBot="1" x14ac:dyDescent="0.4">
      <c r="A278" s="171">
        <f>ROWS($A$6:A278)</f>
        <v>273</v>
      </c>
      <c r="B278" s="168" t="s">
        <v>65</v>
      </c>
      <c r="C278" s="168" t="s">
        <v>777</v>
      </c>
      <c r="D278" s="168" t="s">
        <v>778</v>
      </c>
      <c r="E278" s="168" t="s">
        <v>1281</v>
      </c>
      <c r="F278" s="168" t="s">
        <v>38</v>
      </c>
      <c r="G278" s="168" t="s">
        <v>68</v>
      </c>
    </row>
    <row r="279" spans="1:7" ht="15" thickBot="1" x14ac:dyDescent="0.4">
      <c r="A279" s="171">
        <f>ROWS($A$6:A279)</f>
        <v>274</v>
      </c>
      <c r="B279" s="168" t="s">
        <v>65</v>
      </c>
      <c r="C279" s="168" t="s">
        <v>779</v>
      </c>
      <c r="D279" s="168" t="s">
        <v>780</v>
      </c>
      <c r="E279" s="168" t="s">
        <v>1281</v>
      </c>
      <c r="F279" s="168" t="s">
        <v>39</v>
      </c>
      <c r="G279" s="168" t="s">
        <v>68</v>
      </c>
    </row>
    <row r="280" spans="1:7" ht="15" thickBot="1" x14ac:dyDescent="0.4">
      <c r="A280" s="171">
        <f>ROWS($A$6:A280)</f>
        <v>275</v>
      </c>
      <c r="B280" s="168" t="s">
        <v>65</v>
      </c>
      <c r="C280" s="168" t="s">
        <v>781</v>
      </c>
      <c r="D280" s="168" t="s">
        <v>142</v>
      </c>
      <c r="E280" s="168" t="s">
        <v>1282</v>
      </c>
      <c r="F280" s="168" t="s">
        <v>41</v>
      </c>
      <c r="G280" s="168" t="s">
        <v>68</v>
      </c>
    </row>
    <row r="281" spans="1:7" ht="15" thickBot="1" x14ac:dyDescent="0.4">
      <c r="A281" s="171">
        <f>ROWS($A$6:A281)</f>
        <v>276</v>
      </c>
      <c r="B281" s="168" t="s">
        <v>65</v>
      </c>
      <c r="C281" s="168" t="s">
        <v>782</v>
      </c>
      <c r="D281" s="168" t="s">
        <v>140</v>
      </c>
      <c r="E281" s="168" t="s">
        <v>1282</v>
      </c>
      <c r="F281" s="168" t="s">
        <v>40</v>
      </c>
      <c r="G281" s="168" t="s">
        <v>68</v>
      </c>
    </row>
    <row r="282" spans="1:7" ht="15" thickBot="1" x14ac:dyDescent="0.4">
      <c r="A282" s="171">
        <f>ROWS($A$6:A282)</f>
        <v>277</v>
      </c>
      <c r="B282" s="168" t="s">
        <v>65</v>
      </c>
      <c r="C282" s="168" t="s">
        <v>718</v>
      </c>
      <c r="D282" s="168" t="s">
        <v>783</v>
      </c>
      <c r="E282" s="168" t="s">
        <v>1281</v>
      </c>
      <c r="F282" s="168" t="s">
        <v>38</v>
      </c>
      <c r="G282" s="168" t="s">
        <v>68</v>
      </c>
    </row>
    <row r="283" spans="1:7" ht="15" thickBot="1" x14ac:dyDescent="0.4">
      <c r="A283" s="171">
        <f>ROWS($A$6:A283)</f>
        <v>278</v>
      </c>
      <c r="B283" s="168" t="s">
        <v>65</v>
      </c>
      <c r="C283" s="168" t="s">
        <v>784</v>
      </c>
      <c r="D283" s="168" t="s">
        <v>785</v>
      </c>
      <c r="E283" s="168" t="s">
        <v>1281</v>
      </c>
      <c r="F283" s="168" t="s">
        <v>37</v>
      </c>
      <c r="G283" s="168" t="s">
        <v>67</v>
      </c>
    </row>
    <row r="284" spans="1:7" ht="15" thickBot="1" x14ac:dyDescent="0.4">
      <c r="A284" s="171">
        <f>ROWS($A$6:A284)</f>
        <v>279</v>
      </c>
      <c r="B284" s="168" t="s">
        <v>65</v>
      </c>
      <c r="C284" s="168" t="s">
        <v>786</v>
      </c>
      <c r="D284" s="168" t="s">
        <v>787</v>
      </c>
      <c r="E284" s="168" t="s">
        <v>1281</v>
      </c>
      <c r="F284" s="168" t="s">
        <v>40</v>
      </c>
      <c r="G284" s="168" t="s">
        <v>68</v>
      </c>
    </row>
    <row r="285" spans="1:7" ht="15" thickBot="1" x14ac:dyDescent="0.4">
      <c r="A285" s="171">
        <f>ROWS($A$6:A285)</f>
        <v>280</v>
      </c>
      <c r="B285" s="168" t="s">
        <v>65</v>
      </c>
      <c r="C285" s="168" t="s">
        <v>788</v>
      </c>
      <c r="D285" s="168" t="s">
        <v>789</v>
      </c>
      <c r="E285" s="168" t="s">
        <v>1281</v>
      </c>
      <c r="F285" s="168" t="s">
        <v>40</v>
      </c>
      <c r="G285" s="168" t="s">
        <v>68</v>
      </c>
    </row>
    <row r="286" spans="1:7" ht="15" thickBot="1" x14ac:dyDescent="0.4">
      <c r="A286" s="171">
        <f>ROWS($A$6:A286)</f>
        <v>281</v>
      </c>
      <c r="B286" s="168" t="s">
        <v>65</v>
      </c>
      <c r="C286" s="168" t="s">
        <v>790</v>
      </c>
      <c r="D286" s="168" t="s">
        <v>791</v>
      </c>
      <c r="E286" s="168" t="s">
        <v>1281</v>
      </c>
      <c r="F286" s="168" t="s">
        <v>39</v>
      </c>
      <c r="G286" s="168" t="s">
        <v>68</v>
      </c>
    </row>
    <row r="287" spans="1:7" ht="15" thickBot="1" x14ac:dyDescent="0.4">
      <c r="A287" s="171">
        <f>ROWS($A$6:A287)</f>
        <v>282</v>
      </c>
      <c r="B287" s="168" t="s">
        <v>65</v>
      </c>
      <c r="C287" s="168" t="s">
        <v>792</v>
      </c>
      <c r="D287" s="168" t="s">
        <v>793</v>
      </c>
      <c r="E287" s="168" t="s">
        <v>1281</v>
      </c>
      <c r="F287" s="168" t="s">
        <v>38</v>
      </c>
      <c r="G287" s="168" t="s">
        <v>68</v>
      </c>
    </row>
    <row r="288" spans="1:7" ht="15" thickBot="1" x14ac:dyDescent="0.4">
      <c r="A288" s="171">
        <f>ROWS($A$6:A288)</f>
        <v>283</v>
      </c>
      <c r="B288" s="168" t="s">
        <v>65</v>
      </c>
      <c r="C288" s="168" t="s">
        <v>718</v>
      </c>
      <c r="D288" s="168" t="s">
        <v>794</v>
      </c>
      <c r="E288" s="168" t="s">
        <v>1281</v>
      </c>
      <c r="F288" s="168" t="s">
        <v>40</v>
      </c>
      <c r="G288" s="168" t="s">
        <v>68</v>
      </c>
    </row>
    <row r="289" spans="1:7" ht="15" thickBot="1" x14ac:dyDescent="0.4">
      <c r="A289" s="171">
        <f>ROWS($A$6:A289)</f>
        <v>284</v>
      </c>
      <c r="B289" s="168" t="s">
        <v>65</v>
      </c>
      <c r="C289" s="168" t="s">
        <v>795</v>
      </c>
      <c r="D289" s="168" t="s">
        <v>796</v>
      </c>
      <c r="E289" s="168" t="s">
        <v>1281</v>
      </c>
      <c r="F289" s="168" t="s">
        <v>40</v>
      </c>
      <c r="G289" s="168" t="s">
        <v>68</v>
      </c>
    </row>
    <row r="290" spans="1:7" ht="15" thickBot="1" x14ac:dyDescent="0.4">
      <c r="A290" s="171">
        <f>ROWS($A$6:A290)</f>
        <v>285</v>
      </c>
      <c r="B290" s="168" t="s">
        <v>65</v>
      </c>
      <c r="C290" s="168" t="s">
        <v>797</v>
      </c>
      <c r="D290" s="168" t="s">
        <v>798</v>
      </c>
      <c r="E290" s="168" t="s">
        <v>1281</v>
      </c>
      <c r="F290" s="168" t="s">
        <v>37</v>
      </c>
      <c r="G290" s="168" t="s">
        <v>67</v>
      </c>
    </row>
    <row r="291" spans="1:7" ht="15" thickBot="1" x14ac:dyDescent="0.4">
      <c r="A291" s="171">
        <f>ROWS($A$6:A291)</f>
        <v>286</v>
      </c>
      <c r="B291" s="168" t="s">
        <v>65</v>
      </c>
      <c r="C291" s="168" t="s">
        <v>799</v>
      </c>
      <c r="D291" s="168" t="s">
        <v>800</v>
      </c>
      <c r="E291" s="168" t="s">
        <v>1281</v>
      </c>
      <c r="F291" s="168" t="s">
        <v>40</v>
      </c>
      <c r="G291" s="168" t="s">
        <v>68</v>
      </c>
    </row>
    <row r="292" spans="1:7" ht="15" thickBot="1" x14ac:dyDescent="0.4">
      <c r="A292" s="171">
        <f>ROWS($A$6:A292)</f>
        <v>287</v>
      </c>
      <c r="B292" s="168" t="s">
        <v>65</v>
      </c>
      <c r="C292" s="168" t="s">
        <v>801</v>
      </c>
      <c r="D292" s="168" t="s">
        <v>802</v>
      </c>
      <c r="E292" s="168" t="s">
        <v>1281</v>
      </c>
      <c r="F292" s="168" t="s">
        <v>38</v>
      </c>
      <c r="G292" s="168" t="s">
        <v>68</v>
      </c>
    </row>
    <row r="293" spans="1:7" ht="15" thickBot="1" x14ac:dyDescent="0.4">
      <c r="A293" s="171">
        <f>ROWS($A$6:A293)</f>
        <v>288</v>
      </c>
      <c r="B293" s="168" t="s">
        <v>65</v>
      </c>
      <c r="C293" s="168" t="s">
        <v>803</v>
      </c>
      <c r="D293" s="168" t="s">
        <v>804</v>
      </c>
      <c r="E293" s="168" t="s">
        <v>1281</v>
      </c>
      <c r="F293" s="168" t="s">
        <v>40</v>
      </c>
      <c r="G293" s="168" t="s">
        <v>68</v>
      </c>
    </row>
    <row r="294" spans="1:7" ht="15" thickBot="1" x14ac:dyDescent="0.4">
      <c r="A294" s="171">
        <f>ROWS($A$6:A294)</f>
        <v>289</v>
      </c>
      <c r="B294" s="168" t="s">
        <v>65</v>
      </c>
      <c r="C294" s="168" t="s">
        <v>805</v>
      </c>
      <c r="D294" s="168" t="s">
        <v>806</v>
      </c>
      <c r="E294" s="168" t="s">
        <v>1281</v>
      </c>
      <c r="F294" s="168" t="s">
        <v>38</v>
      </c>
      <c r="G294" s="168" t="s">
        <v>68</v>
      </c>
    </row>
    <row r="295" spans="1:7" ht="15" thickBot="1" x14ac:dyDescent="0.4">
      <c r="A295" s="171">
        <f>ROWS($A$6:A295)</f>
        <v>290</v>
      </c>
      <c r="B295" s="168" t="s">
        <v>65</v>
      </c>
      <c r="C295" s="168" t="s">
        <v>807</v>
      </c>
      <c r="D295" s="168" t="s">
        <v>808</v>
      </c>
      <c r="E295" s="168" t="s">
        <v>1281</v>
      </c>
      <c r="F295" s="168" t="s">
        <v>39</v>
      </c>
      <c r="G295" s="168" t="s">
        <v>68</v>
      </c>
    </row>
    <row r="296" spans="1:7" ht="15" thickBot="1" x14ac:dyDescent="0.4">
      <c r="A296" s="171">
        <f>ROWS($A$6:A296)</f>
        <v>291</v>
      </c>
      <c r="B296" s="168" t="s">
        <v>65</v>
      </c>
      <c r="C296" s="168" t="s">
        <v>809</v>
      </c>
      <c r="D296" s="168" t="s">
        <v>810</v>
      </c>
      <c r="E296" s="168" t="s">
        <v>1281</v>
      </c>
      <c r="F296" s="168" t="s">
        <v>37</v>
      </c>
      <c r="G296" s="168" t="s">
        <v>67</v>
      </c>
    </row>
    <row r="297" spans="1:7" ht="15" thickBot="1" x14ac:dyDescent="0.4">
      <c r="A297" s="171">
        <f>ROWS($A$6:A297)</f>
        <v>292</v>
      </c>
      <c r="B297" s="168" t="s">
        <v>65</v>
      </c>
      <c r="C297" s="168" t="s">
        <v>811</v>
      </c>
      <c r="D297" s="168" t="s">
        <v>812</v>
      </c>
      <c r="E297" s="168" t="s">
        <v>1281</v>
      </c>
      <c r="F297" s="168" t="s">
        <v>40</v>
      </c>
      <c r="G297" s="168" t="s">
        <v>68</v>
      </c>
    </row>
    <row r="298" spans="1:7" ht="15" thickBot="1" x14ac:dyDescent="0.4">
      <c r="A298" s="171">
        <f>ROWS($A$6:A298)</f>
        <v>293</v>
      </c>
      <c r="B298" s="168" t="s">
        <v>65</v>
      </c>
      <c r="C298" s="168" t="s">
        <v>813</v>
      </c>
      <c r="D298" s="168" t="s">
        <v>814</v>
      </c>
      <c r="E298" s="168" t="s">
        <v>1281</v>
      </c>
      <c r="F298" s="168" t="s">
        <v>40</v>
      </c>
      <c r="G298" s="168" t="s">
        <v>68</v>
      </c>
    </row>
    <row r="299" spans="1:7" ht="15" thickBot="1" x14ac:dyDescent="0.4">
      <c r="A299" s="171">
        <f>ROWS($A$6:A299)</f>
        <v>294</v>
      </c>
      <c r="B299" s="168" t="s">
        <v>65</v>
      </c>
      <c r="C299" s="168" t="s">
        <v>815</v>
      </c>
      <c r="D299" s="168" t="s">
        <v>816</v>
      </c>
      <c r="E299" s="168" t="s">
        <v>1281</v>
      </c>
      <c r="F299" s="168" t="s">
        <v>40</v>
      </c>
      <c r="G299" s="168" t="s">
        <v>68</v>
      </c>
    </row>
    <row r="300" spans="1:7" ht="15" thickBot="1" x14ac:dyDescent="0.4">
      <c r="A300" s="171">
        <f>ROWS($A$6:A300)</f>
        <v>295</v>
      </c>
      <c r="B300" s="168" t="s">
        <v>65</v>
      </c>
      <c r="C300" s="168" t="s">
        <v>817</v>
      </c>
      <c r="D300" s="168" t="s">
        <v>818</v>
      </c>
      <c r="E300" s="168" t="s">
        <v>1281</v>
      </c>
      <c r="F300" s="168" t="s">
        <v>39</v>
      </c>
      <c r="G300" s="168" t="s">
        <v>68</v>
      </c>
    </row>
    <row r="301" spans="1:7" ht="15" thickBot="1" x14ac:dyDescent="0.4">
      <c r="A301" s="171">
        <f>ROWS($A$6:A301)</f>
        <v>296</v>
      </c>
      <c r="B301" s="168" t="s">
        <v>65</v>
      </c>
      <c r="C301" s="168" t="s">
        <v>819</v>
      </c>
      <c r="D301" s="168" t="s">
        <v>820</v>
      </c>
      <c r="E301" s="168" t="s">
        <v>1281</v>
      </c>
      <c r="F301" s="168" t="s">
        <v>40</v>
      </c>
      <c r="G301" s="168" t="s">
        <v>68</v>
      </c>
    </row>
    <row r="302" spans="1:7" ht="15" thickBot="1" x14ac:dyDescent="0.4">
      <c r="A302" s="171">
        <f>ROWS($A$6:A302)</f>
        <v>297</v>
      </c>
      <c r="B302" s="168" t="s">
        <v>65</v>
      </c>
      <c r="C302" s="168" t="s">
        <v>821</v>
      </c>
      <c r="D302" s="168" t="s">
        <v>822</v>
      </c>
      <c r="E302" s="168" t="s">
        <v>1281</v>
      </c>
      <c r="F302" s="168" t="s">
        <v>41</v>
      </c>
      <c r="G302" s="168" t="s">
        <v>68</v>
      </c>
    </row>
    <row r="303" spans="1:7" ht="15" thickBot="1" x14ac:dyDescent="0.4">
      <c r="A303" s="171">
        <f>ROWS($A$6:A303)</f>
        <v>298</v>
      </c>
      <c r="B303" s="168" t="s">
        <v>65</v>
      </c>
      <c r="C303" s="168" t="s">
        <v>823</v>
      </c>
      <c r="D303" s="168" t="s">
        <v>824</v>
      </c>
      <c r="E303" s="168" t="s">
        <v>1281</v>
      </c>
      <c r="F303" s="168" t="s">
        <v>37</v>
      </c>
      <c r="G303" s="168" t="s">
        <v>67</v>
      </c>
    </row>
    <row r="304" spans="1:7" ht="15" thickBot="1" x14ac:dyDescent="0.4">
      <c r="A304" s="171">
        <f>ROWS($A$6:A304)</f>
        <v>299</v>
      </c>
      <c r="B304" s="168" t="s">
        <v>65</v>
      </c>
      <c r="C304" s="168" t="s">
        <v>825</v>
      </c>
      <c r="D304" s="168" t="s">
        <v>826</v>
      </c>
      <c r="E304" s="168" t="s">
        <v>1281</v>
      </c>
      <c r="F304" s="168" t="s">
        <v>39</v>
      </c>
      <c r="G304" s="168" t="s">
        <v>68</v>
      </c>
    </row>
    <row r="305" spans="1:7" ht="15" thickBot="1" x14ac:dyDescent="0.4">
      <c r="A305" s="171">
        <f>ROWS($A$6:A305)</f>
        <v>300</v>
      </c>
      <c r="B305" s="168" t="s">
        <v>65</v>
      </c>
      <c r="C305" s="168" t="s">
        <v>827</v>
      </c>
      <c r="D305" s="168" t="s">
        <v>828</v>
      </c>
      <c r="E305" s="168" t="s">
        <v>1281</v>
      </c>
      <c r="F305" s="168" t="s">
        <v>41</v>
      </c>
      <c r="G305" s="168" t="s">
        <v>68</v>
      </c>
    </row>
    <row r="306" spans="1:7" ht="15" thickBot="1" x14ac:dyDescent="0.4">
      <c r="A306" s="171">
        <f>ROWS($A$6:A306)</f>
        <v>301</v>
      </c>
      <c r="B306" s="168" t="s">
        <v>65</v>
      </c>
      <c r="C306" s="168" t="s">
        <v>829</v>
      </c>
      <c r="D306" s="168" t="s">
        <v>830</v>
      </c>
      <c r="E306" s="168" t="s">
        <v>1281</v>
      </c>
      <c r="F306" s="168" t="s">
        <v>41</v>
      </c>
      <c r="G306" s="168" t="s">
        <v>68</v>
      </c>
    </row>
    <row r="307" spans="1:7" ht="15" thickBot="1" x14ac:dyDescent="0.4">
      <c r="A307" s="171">
        <f>ROWS($A$6:A307)</f>
        <v>302</v>
      </c>
      <c r="B307" s="168" t="s">
        <v>65</v>
      </c>
      <c r="C307" s="168" t="s">
        <v>831</v>
      </c>
      <c r="D307" s="168" t="s">
        <v>832</v>
      </c>
      <c r="E307" s="168" t="s">
        <v>1281</v>
      </c>
      <c r="F307" s="168" t="s">
        <v>37</v>
      </c>
      <c r="G307" s="168" t="s">
        <v>67</v>
      </c>
    </row>
    <row r="308" spans="1:7" ht="15" thickBot="1" x14ac:dyDescent="0.4">
      <c r="A308" s="171">
        <f>ROWS($A$6:A308)</f>
        <v>303</v>
      </c>
      <c r="B308" s="168" t="s">
        <v>65</v>
      </c>
      <c r="C308" s="168" t="s">
        <v>833</v>
      </c>
      <c r="D308" s="168" t="s">
        <v>834</v>
      </c>
      <c r="E308" s="168" t="s">
        <v>1281</v>
      </c>
      <c r="F308" s="168" t="s">
        <v>38</v>
      </c>
      <c r="G308" s="168" t="s">
        <v>68</v>
      </c>
    </row>
    <row r="309" spans="1:7" ht="15" thickBot="1" x14ac:dyDescent="0.4">
      <c r="A309" s="171">
        <f>ROWS($A$6:A309)</f>
        <v>304</v>
      </c>
      <c r="B309" s="168" t="s">
        <v>65</v>
      </c>
      <c r="C309" s="168" t="s">
        <v>835</v>
      </c>
      <c r="D309" s="168" t="s">
        <v>836</v>
      </c>
      <c r="E309" s="168" t="s">
        <v>1281</v>
      </c>
      <c r="F309" s="168" t="s">
        <v>41</v>
      </c>
      <c r="G309" s="168" t="s">
        <v>68</v>
      </c>
    </row>
    <row r="310" spans="1:7" ht="15" thickBot="1" x14ac:dyDescent="0.4">
      <c r="A310" s="171">
        <f>ROWS($A$6:A310)</f>
        <v>305</v>
      </c>
      <c r="B310" s="168" t="s">
        <v>64</v>
      </c>
      <c r="C310" s="168" t="s">
        <v>837</v>
      </c>
      <c r="D310" s="168" t="s">
        <v>838</v>
      </c>
      <c r="E310" s="168" t="s">
        <v>1281</v>
      </c>
      <c r="F310" s="168" t="s">
        <v>37</v>
      </c>
      <c r="G310" s="168" t="s">
        <v>67</v>
      </c>
    </row>
    <row r="311" spans="1:7" ht="15" thickBot="1" x14ac:dyDescent="0.4">
      <c r="A311" s="171">
        <f>ROWS($A$6:A311)</f>
        <v>306</v>
      </c>
      <c r="B311" s="168" t="s">
        <v>64</v>
      </c>
      <c r="C311" s="168" t="s">
        <v>839</v>
      </c>
      <c r="D311" s="168" t="s">
        <v>840</v>
      </c>
      <c r="E311" s="168" t="s">
        <v>1281</v>
      </c>
      <c r="F311" s="168" t="s">
        <v>37</v>
      </c>
      <c r="G311" s="168" t="s">
        <v>67</v>
      </c>
    </row>
    <row r="312" spans="1:7" ht="15" thickBot="1" x14ac:dyDescent="0.4">
      <c r="A312" s="171">
        <f>ROWS($A$6:A312)</f>
        <v>307</v>
      </c>
      <c r="B312" s="168" t="s">
        <v>64</v>
      </c>
      <c r="C312" s="168" t="s">
        <v>841</v>
      </c>
      <c r="D312" s="168" t="s">
        <v>842</v>
      </c>
      <c r="E312" s="168" t="s">
        <v>1281</v>
      </c>
      <c r="F312" s="168" t="s">
        <v>37</v>
      </c>
      <c r="G312" s="168" t="s">
        <v>67</v>
      </c>
    </row>
    <row r="313" spans="1:7" ht="15" thickBot="1" x14ac:dyDescent="0.4">
      <c r="A313" s="171">
        <f>ROWS($A$6:A313)</f>
        <v>308</v>
      </c>
      <c r="B313" s="168" t="s">
        <v>64</v>
      </c>
      <c r="C313" s="168" t="s">
        <v>843</v>
      </c>
      <c r="D313" s="168" t="s">
        <v>844</v>
      </c>
      <c r="E313" s="168" t="s">
        <v>1281</v>
      </c>
      <c r="F313" s="168" t="s">
        <v>39</v>
      </c>
      <c r="G313" s="168" t="s">
        <v>68</v>
      </c>
    </row>
    <row r="314" spans="1:7" ht="15" thickBot="1" x14ac:dyDescent="0.4">
      <c r="A314" s="171">
        <f>ROWS($A$6:A314)</f>
        <v>309</v>
      </c>
      <c r="B314" s="168" t="s">
        <v>64</v>
      </c>
      <c r="C314" s="168" t="s">
        <v>845</v>
      </c>
      <c r="D314" s="168" t="s">
        <v>846</v>
      </c>
      <c r="E314" s="168" t="s">
        <v>1281</v>
      </c>
      <c r="F314" s="168" t="s">
        <v>37</v>
      </c>
      <c r="G314" s="168" t="s">
        <v>67</v>
      </c>
    </row>
    <row r="315" spans="1:7" ht="15" thickBot="1" x14ac:dyDescent="0.4">
      <c r="A315" s="171">
        <f>ROWS($A$6:A315)</f>
        <v>310</v>
      </c>
      <c r="B315" s="168" t="s">
        <v>64</v>
      </c>
      <c r="C315" s="168" t="s">
        <v>847</v>
      </c>
      <c r="D315" s="168" t="s">
        <v>848</v>
      </c>
      <c r="E315" s="168" t="s">
        <v>1281</v>
      </c>
      <c r="F315" s="168" t="s">
        <v>37</v>
      </c>
      <c r="G315" s="168" t="s">
        <v>67</v>
      </c>
    </row>
    <row r="316" spans="1:7" ht="15" thickBot="1" x14ac:dyDescent="0.4">
      <c r="A316" s="171">
        <f>ROWS($A$6:A316)</f>
        <v>311</v>
      </c>
      <c r="B316" s="168" t="s">
        <v>64</v>
      </c>
      <c r="C316" s="168" t="s">
        <v>849</v>
      </c>
      <c r="D316" s="168" t="s">
        <v>850</v>
      </c>
      <c r="E316" s="168" t="s">
        <v>1281</v>
      </c>
      <c r="F316" s="168" t="s">
        <v>37</v>
      </c>
      <c r="G316" s="168" t="s">
        <v>67</v>
      </c>
    </row>
    <row r="317" spans="1:7" ht="15" thickBot="1" x14ac:dyDescent="0.4">
      <c r="A317" s="171">
        <f>ROWS($A$6:A317)</f>
        <v>312</v>
      </c>
      <c r="B317" s="168" t="s">
        <v>64</v>
      </c>
      <c r="C317" s="168" t="s">
        <v>851</v>
      </c>
      <c r="D317" s="168" t="s">
        <v>852</v>
      </c>
      <c r="E317" s="168" t="s">
        <v>1281</v>
      </c>
      <c r="F317" s="168" t="s">
        <v>37</v>
      </c>
      <c r="G317" s="168" t="s">
        <v>67</v>
      </c>
    </row>
    <row r="318" spans="1:7" ht="15" thickBot="1" x14ac:dyDescent="0.4">
      <c r="A318" s="171">
        <f>ROWS($A$6:A318)</f>
        <v>313</v>
      </c>
      <c r="B318" s="168" t="s">
        <v>64</v>
      </c>
      <c r="C318" s="168" t="s">
        <v>853</v>
      </c>
      <c r="D318" s="168" t="s">
        <v>854</v>
      </c>
      <c r="E318" s="168" t="s">
        <v>1281</v>
      </c>
      <c r="F318" s="168" t="s">
        <v>37</v>
      </c>
      <c r="G318" s="168" t="s">
        <v>67</v>
      </c>
    </row>
    <row r="319" spans="1:7" ht="15" thickBot="1" x14ac:dyDescent="0.4">
      <c r="A319" s="171">
        <f>ROWS($A$6:A319)</f>
        <v>314</v>
      </c>
      <c r="B319" s="168" t="s">
        <v>64</v>
      </c>
      <c r="C319" s="168" t="s">
        <v>855</v>
      </c>
      <c r="D319" s="168" t="s">
        <v>856</v>
      </c>
      <c r="E319" s="168" t="s">
        <v>1281</v>
      </c>
      <c r="F319" s="168" t="s">
        <v>37</v>
      </c>
      <c r="G319" s="168" t="s">
        <v>67</v>
      </c>
    </row>
    <row r="320" spans="1:7" ht="15" thickBot="1" x14ac:dyDescent="0.4">
      <c r="A320" s="171">
        <f>ROWS($A$6:A320)</f>
        <v>315</v>
      </c>
      <c r="B320" s="168" t="s">
        <v>64</v>
      </c>
      <c r="C320" s="168" t="s">
        <v>857</v>
      </c>
      <c r="D320" s="168" t="s">
        <v>858</v>
      </c>
      <c r="E320" s="168" t="s">
        <v>1281</v>
      </c>
      <c r="F320" s="168" t="s">
        <v>37</v>
      </c>
      <c r="G320" s="168" t="s">
        <v>67</v>
      </c>
    </row>
    <row r="321" spans="1:7" ht="15" thickBot="1" x14ac:dyDescent="0.4">
      <c r="A321" s="171">
        <f>ROWS($A$6:A321)</f>
        <v>316</v>
      </c>
      <c r="B321" s="168" t="s">
        <v>64</v>
      </c>
      <c r="C321" s="168" t="s">
        <v>859</v>
      </c>
      <c r="D321" s="168" t="s">
        <v>860</v>
      </c>
      <c r="E321" s="168" t="s">
        <v>1281</v>
      </c>
      <c r="F321" s="168" t="s">
        <v>37</v>
      </c>
      <c r="G321" s="168" t="s">
        <v>67</v>
      </c>
    </row>
    <row r="322" spans="1:7" ht="15" thickBot="1" x14ac:dyDescent="0.4">
      <c r="A322" s="171">
        <f>ROWS($A$6:A322)</f>
        <v>317</v>
      </c>
      <c r="B322" s="168" t="s">
        <v>64</v>
      </c>
      <c r="C322" s="168" t="s">
        <v>861</v>
      </c>
      <c r="D322" s="168" t="s">
        <v>862</v>
      </c>
      <c r="E322" s="168" t="s">
        <v>1281</v>
      </c>
      <c r="F322" s="168" t="s">
        <v>37</v>
      </c>
      <c r="G322" s="168" t="s">
        <v>67</v>
      </c>
    </row>
    <row r="323" spans="1:7" ht="15" thickBot="1" x14ac:dyDescent="0.4">
      <c r="A323" s="171">
        <f>ROWS($A$6:A323)</f>
        <v>318</v>
      </c>
      <c r="B323" s="168" t="s">
        <v>64</v>
      </c>
      <c r="C323" s="168" t="s">
        <v>863</v>
      </c>
      <c r="D323" s="168" t="s">
        <v>864</v>
      </c>
      <c r="E323" s="168" t="s">
        <v>1281</v>
      </c>
      <c r="F323" s="168" t="s">
        <v>37</v>
      </c>
      <c r="G323" s="168" t="s">
        <v>67</v>
      </c>
    </row>
    <row r="324" spans="1:7" ht="15" thickBot="1" x14ac:dyDescent="0.4">
      <c r="A324" s="171">
        <f>ROWS($A$6:A324)</f>
        <v>319</v>
      </c>
      <c r="B324" s="168" t="s">
        <v>64</v>
      </c>
      <c r="C324" s="168" t="s">
        <v>865</v>
      </c>
      <c r="D324" s="168" t="s">
        <v>866</v>
      </c>
      <c r="E324" s="168" t="s">
        <v>1281</v>
      </c>
      <c r="F324" s="168" t="s">
        <v>37</v>
      </c>
      <c r="G324" s="168" t="s">
        <v>67</v>
      </c>
    </row>
    <row r="325" spans="1:7" ht="15" thickBot="1" x14ac:dyDescent="0.4">
      <c r="A325" s="171">
        <f>ROWS($A$6:A325)</f>
        <v>320</v>
      </c>
      <c r="B325" s="168" t="s">
        <v>64</v>
      </c>
      <c r="C325" s="168" t="s">
        <v>867</v>
      </c>
      <c r="D325" s="168" t="s">
        <v>868</v>
      </c>
      <c r="E325" s="168" t="s">
        <v>1281</v>
      </c>
      <c r="F325" s="168" t="s">
        <v>37</v>
      </c>
      <c r="G325" s="168" t="s">
        <v>67</v>
      </c>
    </row>
    <row r="326" spans="1:7" ht="15" thickBot="1" x14ac:dyDescent="0.4">
      <c r="A326" s="171">
        <f>ROWS($A$6:A326)</f>
        <v>321</v>
      </c>
      <c r="B326" s="168" t="s">
        <v>64</v>
      </c>
      <c r="C326" s="168" t="s">
        <v>869</v>
      </c>
      <c r="D326" s="168" t="s">
        <v>870</v>
      </c>
      <c r="E326" s="168" t="s">
        <v>1281</v>
      </c>
      <c r="F326" s="168" t="s">
        <v>37</v>
      </c>
      <c r="G326" s="168" t="s">
        <v>67</v>
      </c>
    </row>
    <row r="327" spans="1:7" ht="15" thickBot="1" x14ac:dyDescent="0.4">
      <c r="A327" s="171">
        <f>ROWS($A$6:A327)</f>
        <v>322</v>
      </c>
      <c r="B327" s="168" t="s">
        <v>64</v>
      </c>
      <c r="C327" s="168" t="s">
        <v>871</v>
      </c>
      <c r="D327" s="168" t="s">
        <v>872</v>
      </c>
      <c r="E327" s="168" t="s">
        <v>1281</v>
      </c>
      <c r="F327" s="168" t="s">
        <v>37</v>
      </c>
      <c r="G327" s="168" t="s">
        <v>67</v>
      </c>
    </row>
    <row r="328" spans="1:7" ht="15" thickBot="1" x14ac:dyDescent="0.4">
      <c r="A328" s="171">
        <f>ROWS($A$6:A328)</f>
        <v>323</v>
      </c>
      <c r="B328" s="168" t="s">
        <v>64</v>
      </c>
      <c r="C328" s="168" t="s">
        <v>873</v>
      </c>
      <c r="D328" s="168" t="s">
        <v>874</v>
      </c>
      <c r="E328" s="168" t="s">
        <v>1281</v>
      </c>
      <c r="F328" s="168" t="s">
        <v>37</v>
      </c>
      <c r="G328" s="168" t="s">
        <v>67</v>
      </c>
    </row>
    <row r="329" spans="1:7" ht="15" thickBot="1" x14ac:dyDescent="0.4">
      <c r="A329" s="171">
        <f>ROWS($A$6:A329)</f>
        <v>324</v>
      </c>
      <c r="B329" s="168" t="s">
        <v>64</v>
      </c>
      <c r="C329" s="168" t="s">
        <v>875</v>
      </c>
      <c r="D329" s="168" t="s">
        <v>876</v>
      </c>
      <c r="E329" s="168" t="s">
        <v>1281</v>
      </c>
      <c r="F329" s="168" t="s">
        <v>37</v>
      </c>
      <c r="G329" s="168" t="s">
        <v>67</v>
      </c>
    </row>
    <row r="330" spans="1:7" ht="15" thickBot="1" x14ac:dyDescent="0.4">
      <c r="A330" s="171">
        <f>ROWS($A$6:A330)</f>
        <v>325</v>
      </c>
      <c r="B330" s="168" t="s">
        <v>64</v>
      </c>
      <c r="C330" s="168" t="s">
        <v>877</v>
      </c>
      <c r="D330" s="168" t="s">
        <v>878</v>
      </c>
      <c r="E330" s="168" t="s">
        <v>1281</v>
      </c>
      <c r="F330" s="168" t="s">
        <v>39</v>
      </c>
      <c r="G330" s="168" t="s">
        <v>68</v>
      </c>
    </row>
    <row r="331" spans="1:7" ht="15" thickBot="1" x14ac:dyDescent="0.4">
      <c r="A331" s="171">
        <f>ROWS($A$6:A331)</f>
        <v>326</v>
      </c>
      <c r="B331" s="168" t="s">
        <v>64</v>
      </c>
      <c r="C331" s="168" t="s">
        <v>879</v>
      </c>
      <c r="D331" s="168" t="s">
        <v>880</v>
      </c>
      <c r="E331" s="168" t="s">
        <v>1281</v>
      </c>
      <c r="F331" s="168" t="s">
        <v>39</v>
      </c>
      <c r="G331" s="168" t="s">
        <v>68</v>
      </c>
    </row>
    <row r="332" spans="1:7" ht="15" thickBot="1" x14ac:dyDescent="0.4">
      <c r="A332" s="171">
        <f>ROWS($A$6:A332)</f>
        <v>327</v>
      </c>
      <c r="B332" s="168" t="s">
        <v>64</v>
      </c>
      <c r="C332" s="168" t="s">
        <v>881</v>
      </c>
      <c r="D332" s="168" t="s">
        <v>882</v>
      </c>
      <c r="E332" s="168" t="s">
        <v>1281</v>
      </c>
      <c r="F332" s="168" t="s">
        <v>39</v>
      </c>
      <c r="G332" s="168" t="s">
        <v>68</v>
      </c>
    </row>
    <row r="333" spans="1:7" ht="15" thickBot="1" x14ac:dyDescent="0.4">
      <c r="A333" s="171">
        <f>ROWS($A$6:A333)</f>
        <v>328</v>
      </c>
      <c r="B333" s="168" t="s">
        <v>64</v>
      </c>
      <c r="C333" s="168" t="s">
        <v>883</v>
      </c>
      <c r="D333" s="168" t="s">
        <v>884</v>
      </c>
      <c r="E333" s="168" t="s">
        <v>1281</v>
      </c>
      <c r="F333" s="168" t="s">
        <v>37</v>
      </c>
      <c r="G333" s="168" t="s">
        <v>67</v>
      </c>
    </row>
    <row r="334" spans="1:7" ht="15" thickBot="1" x14ac:dyDescent="0.4">
      <c r="A334" s="171">
        <f>ROWS($A$6:A334)</f>
        <v>329</v>
      </c>
      <c r="B334" s="168" t="s">
        <v>64</v>
      </c>
      <c r="C334" s="168" t="s">
        <v>885</v>
      </c>
      <c r="D334" s="168" t="s">
        <v>886</v>
      </c>
      <c r="E334" s="168" t="s">
        <v>1281</v>
      </c>
      <c r="F334" s="168" t="s">
        <v>37</v>
      </c>
      <c r="G334" s="168" t="s">
        <v>67</v>
      </c>
    </row>
    <row r="335" spans="1:7" ht="15" thickBot="1" x14ac:dyDescent="0.4">
      <c r="A335" s="171">
        <f>ROWS($A$6:A335)</f>
        <v>330</v>
      </c>
      <c r="B335" s="168" t="s">
        <v>64</v>
      </c>
      <c r="C335" s="168" t="s">
        <v>887</v>
      </c>
      <c r="D335" s="168" t="s">
        <v>888</v>
      </c>
      <c r="E335" s="168" t="s">
        <v>1281</v>
      </c>
      <c r="F335" s="168" t="s">
        <v>37</v>
      </c>
      <c r="G335" s="168" t="s">
        <v>67</v>
      </c>
    </row>
    <row r="336" spans="1:7" ht="15" thickBot="1" x14ac:dyDescent="0.4">
      <c r="A336" s="171">
        <f>ROWS($A$6:A336)</f>
        <v>331</v>
      </c>
      <c r="B336" s="168" t="s">
        <v>64</v>
      </c>
      <c r="C336" s="168" t="s">
        <v>889</v>
      </c>
      <c r="D336" s="168" t="s">
        <v>890</v>
      </c>
      <c r="E336" s="168" t="s">
        <v>1281</v>
      </c>
      <c r="F336" s="168" t="s">
        <v>37</v>
      </c>
      <c r="G336" s="168" t="s">
        <v>67</v>
      </c>
    </row>
    <row r="337" spans="1:7" ht="15" thickBot="1" x14ac:dyDescent="0.4">
      <c r="A337" s="171">
        <f>ROWS($A$6:A337)</f>
        <v>332</v>
      </c>
      <c r="B337" s="168" t="s">
        <v>64</v>
      </c>
      <c r="C337" s="168" t="s">
        <v>891</v>
      </c>
      <c r="D337" s="168" t="s">
        <v>892</v>
      </c>
      <c r="E337" s="168" t="s">
        <v>1281</v>
      </c>
      <c r="F337" s="168" t="s">
        <v>37</v>
      </c>
      <c r="G337" s="168" t="s">
        <v>67</v>
      </c>
    </row>
    <row r="338" spans="1:7" ht="15" thickBot="1" x14ac:dyDescent="0.4">
      <c r="A338" s="171">
        <f>ROWS($A$6:A338)</f>
        <v>333</v>
      </c>
      <c r="B338" s="168" t="s">
        <v>64</v>
      </c>
      <c r="C338" s="168" t="s">
        <v>893</v>
      </c>
      <c r="D338" s="168" t="s">
        <v>894</v>
      </c>
      <c r="E338" s="168" t="s">
        <v>1281</v>
      </c>
      <c r="F338" s="168" t="s">
        <v>37</v>
      </c>
      <c r="G338" s="168" t="s">
        <v>67</v>
      </c>
    </row>
    <row r="339" spans="1:7" ht="15" thickBot="1" x14ac:dyDescent="0.4">
      <c r="A339" s="171">
        <f>ROWS($A$6:A339)</f>
        <v>334</v>
      </c>
      <c r="B339" s="168" t="s">
        <v>64</v>
      </c>
      <c r="C339" s="168" t="s">
        <v>895</v>
      </c>
      <c r="D339" s="168" t="s">
        <v>896</v>
      </c>
      <c r="E339" s="168" t="s">
        <v>1281</v>
      </c>
      <c r="F339" s="168" t="s">
        <v>36</v>
      </c>
      <c r="G339" s="168" t="s">
        <v>67</v>
      </c>
    </row>
    <row r="340" spans="1:7" ht="15" thickBot="1" x14ac:dyDescent="0.4">
      <c r="A340" s="171">
        <f>ROWS($A$6:A340)</f>
        <v>335</v>
      </c>
      <c r="B340" s="168" t="s">
        <v>64</v>
      </c>
      <c r="C340" s="168" t="s">
        <v>897</v>
      </c>
      <c r="D340" s="168" t="s">
        <v>898</v>
      </c>
      <c r="E340" s="168" t="s">
        <v>1281</v>
      </c>
      <c r="F340" s="168" t="s">
        <v>37</v>
      </c>
      <c r="G340" s="168" t="s">
        <v>67</v>
      </c>
    </row>
    <row r="341" spans="1:7" ht="15" thickBot="1" x14ac:dyDescent="0.4">
      <c r="A341" s="171">
        <f>ROWS($A$6:A341)</f>
        <v>336</v>
      </c>
      <c r="B341" s="168" t="s">
        <v>64</v>
      </c>
      <c r="C341" s="168" t="s">
        <v>899</v>
      </c>
      <c r="D341" s="168" t="s">
        <v>900</v>
      </c>
      <c r="E341" s="168" t="s">
        <v>1281</v>
      </c>
      <c r="F341" s="168" t="s">
        <v>37</v>
      </c>
      <c r="G341" s="168" t="s">
        <v>67</v>
      </c>
    </row>
    <row r="342" spans="1:7" ht="15" thickBot="1" x14ac:dyDescent="0.4">
      <c r="A342" s="171">
        <f>ROWS($A$6:A342)</f>
        <v>337</v>
      </c>
      <c r="B342" s="168" t="s">
        <v>64</v>
      </c>
      <c r="C342" s="168" t="s">
        <v>901</v>
      </c>
      <c r="D342" s="168" t="s">
        <v>902</v>
      </c>
      <c r="E342" s="168" t="s">
        <v>1281</v>
      </c>
      <c r="F342" s="168" t="s">
        <v>37</v>
      </c>
      <c r="G342" s="168" t="s">
        <v>67</v>
      </c>
    </row>
    <row r="343" spans="1:7" ht="15" thickBot="1" x14ac:dyDescent="0.4">
      <c r="A343" s="171">
        <f>ROWS($A$6:A343)</f>
        <v>338</v>
      </c>
      <c r="B343" s="168" t="s">
        <v>64</v>
      </c>
      <c r="C343" s="168" t="s">
        <v>903</v>
      </c>
      <c r="D343" s="168" t="s">
        <v>904</v>
      </c>
      <c r="E343" s="168" t="s">
        <v>1281</v>
      </c>
      <c r="F343" s="168" t="s">
        <v>37</v>
      </c>
      <c r="G343" s="168" t="s">
        <v>67</v>
      </c>
    </row>
    <row r="344" spans="1:7" ht="15" thickBot="1" x14ac:dyDescent="0.4">
      <c r="A344" s="171">
        <f>ROWS($A$6:A344)</f>
        <v>339</v>
      </c>
      <c r="B344" s="168" t="s">
        <v>64</v>
      </c>
      <c r="C344" s="168" t="s">
        <v>905</v>
      </c>
      <c r="D344" s="168" t="s">
        <v>906</v>
      </c>
      <c r="E344" s="168" t="s">
        <v>1281</v>
      </c>
      <c r="F344" s="168" t="s">
        <v>37</v>
      </c>
      <c r="G344" s="168" t="s">
        <v>67</v>
      </c>
    </row>
    <row r="345" spans="1:7" ht="15" thickBot="1" x14ac:dyDescent="0.4">
      <c r="A345" s="171">
        <f>ROWS($A$6:A345)</f>
        <v>340</v>
      </c>
      <c r="B345" s="168" t="s">
        <v>64</v>
      </c>
      <c r="C345" s="168" t="s">
        <v>907</v>
      </c>
      <c r="D345" s="168" t="s">
        <v>908</v>
      </c>
      <c r="E345" s="168" t="s">
        <v>1281</v>
      </c>
      <c r="F345" s="168" t="s">
        <v>37</v>
      </c>
      <c r="G345" s="168" t="s">
        <v>67</v>
      </c>
    </row>
    <row r="346" spans="1:7" ht="15" thickBot="1" x14ac:dyDescent="0.4">
      <c r="A346" s="171">
        <f>ROWS($A$6:A346)</f>
        <v>341</v>
      </c>
      <c r="B346" s="168" t="s">
        <v>64</v>
      </c>
      <c r="C346" s="168" t="s">
        <v>909</v>
      </c>
      <c r="D346" s="168" t="s">
        <v>910</v>
      </c>
      <c r="E346" s="168" t="s">
        <v>1281</v>
      </c>
      <c r="F346" s="168" t="s">
        <v>37</v>
      </c>
      <c r="G346" s="168" t="s">
        <v>67</v>
      </c>
    </row>
    <row r="347" spans="1:7" ht="15" thickBot="1" x14ac:dyDescent="0.4">
      <c r="A347" s="171">
        <f>ROWS($A$6:A347)</f>
        <v>342</v>
      </c>
      <c r="B347" s="168" t="s">
        <v>64</v>
      </c>
      <c r="C347" s="168" t="s">
        <v>911</v>
      </c>
      <c r="D347" s="168" t="s">
        <v>912</v>
      </c>
      <c r="E347" s="168" t="s">
        <v>1281</v>
      </c>
      <c r="F347" s="168" t="s">
        <v>39</v>
      </c>
      <c r="G347" s="168" t="s">
        <v>68</v>
      </c>
    </row>
    <row r="348" spans="1:7" ht="15" thickBot="1" x14ac:dyDescent="0.4">
      <c r="A348" s="171">
        <f>ROWS($A$6:A348)</f>
        <v>343</v>
      </c>
      <c r="B348" s="168" t="s">
        <v>64</v>
      </c>
      <c r="C348" s="168" t="s">
        <v>913</v>
      </c>
      <c r="D348" s="168" t="s">
        <v>914</v>
      </c>
      <c r="E348" s="168" t="s">
        <v>1281</v>
      </c>
      <c r="F348" s="168" t="s">
        <v>36</v>
      </c>
      <c r="G348" s="168" t="s">
        <v>67</v>
      </c>
    </row>
    <row r="349" spans="1:7" ht="15" thickBot="1" x14ac:dyDescent="0.4">
      <c r="A349" s="171">
        <f>ROWS($A$6:A349)</f>
        <v>344</v>
      </c>
      <c r="B349" s="168" t="s">
        <v>64</v>
      </c>
      <c r="C349" s="168" t="s">
        <v>915</v>
      </c>
      <c r="D349" s="168" t="s">
        <v>916</v>
      </c>
      <c r="E349" s="168" t="s">
        <v>1281</v>
      </c>
      <c r="F349" s="168" t="s">
        <v>37</v>
      </c>
      <c r="G349" s="168" t="s">
        <v>67</v>
      </c>
    </row>
    <row r="350" spans="1:7" ht="15" thickBot="1" x14ac:dyDescent="0.4">
      <c r="A350" s="171">
        <f>ROWS($A$6:A350)</f>
        <v>345</v>
      </c>
      <c r="B350" s="168" t="s">
        <v>64</v>
      </c>
      <c r="C350" s="168" t="s">
        <v>917</v>
      </c>
      <c r="D350" s="168" t="s">
        <v>918</v>
      </c>
      <c r="E350" s="168" t="s">
        <v>1281</v>
      </c>
      <c r="F350" s="168" t="s">
        <v>37</v>
      </c>
      <c r="G350" s="168" t="s">
        <v>67</v>
      </c>
    </row>
    <row r="351" spans="1:7" ht="15" thickBot="1" x14ac:dyDescent="0.4">
      <c r="A351" s="171">
        <f>ROWS($A$6:A351)</f>
        <v>346</v>
      </c>
      <c r="B351" s="168" t="s">
        <v>64</v>
      </c>
      <c r="C351" s="168" t="s">
        <v>919</v>
      </c>
      <c r="D351" s="168" t="s">
        <v>920</v>
      </c>
      <c r="E351" s="168" t="s">
        <v>1281</v>
      </c>
      <c r="F351" s="168" t="s">
        <v>37</v>
      </c>
      <c r="G351" s="168" t="s">
        <v>67</v>
      </c>
    </row>
    <row r="352" spans="1:7" ht="15" thickBot="1" x14ac:dyDescent="0.4">
      <c r="A352" s="171">
        <f>ROWS($A$6:A352)</f>
        <v>347</v>
      </c>
      <c r="B352" s="168" t="s">
        <v>64</v>
      </c>
      <c r="C352" s="168" t="s">
        <v>921</v>
      </c>
      <c r="D352" s="168" t="s">
        <v>922</v>
      </c>
      <c r="E352" s="168" t="s">
        <v>1281</v>
      </c>
      <c r="F352" s="168" t="s">
        <v>37</v>
      </c>
      <c r="G352" s="168" t="s">
        <v>67</v>
      </c>
    </row>
    <row r="353" spans="1:7" ht="15" thickBot="1" x14ac:dyDescent="0.4">
      <c r="A353" s="171">
        <f>ROWS($A$6:A353)</f>
        <v>348</v>
      </c>
      <c r="B353" s="168" t="s">
        <v>64</v>
      </c>
      <c r="C353" s="168" t="s">
        <v>923</v>
      </c>
      <c r="D353" s="168" t="s">
        <v>924</v>
      </c>
      <c r="E353" s="168" t="s">
        <v>1281</v>
      </c>
      <c r="F353" s="168" t="s">
        <v>37</v>
      </c>
      <c r="G353" s="168" t="s">
        <v>67</v>
      </c>
    </row>
    <row r="354" spans="1:7" ht="15" thickBot="1" x14ac:dyDescent="0.4">
      <c r="A354" s="171">
        <f>ROWS($A$6:A354)</f>
        <v>349</v>
      </c>
      <c r="B354" s="168" t="s">
        <v>64</v>
      </c>
      <c r="C354" s="168" t="s">
        <v>925</v>
      </c>
      <c r="D354" s="168" t="s">
        <v>926</v>
      </c>
      <c r="E354" s="168" t="s">
        <v>1281</v>
      </c>
      <c r="F354" s="168" t="s">
        <v>37</v>
      </c>
      <c r="G354" s="168" t="s">
        <v>67</v>
      </c>
    </row>
    <row r="355" spans="1:7" ht="15" thickBot="1" x14ac:dyDescent="0.4">
      <c r="A355" s="171">
        <f>ROWS($A$6:A355)</f>
        <v>350</v>
      </c>
      <c r="B355" s="168" t="s">
        <v>64</v>
      </c>
      <c r="C355" s="168" t="s">
        <v>927</v>
      </c>
      <c r="D355" s="168" t="s">
        <v>928</v>
      </c>
      <c r="E355" s="168" t="s">
        <v>1281</v>
      </c>
      <c r="F355" s="168" t="s">
        <v>37</v>
      </c>
      <c r="G355" s="168" t="s">
        <v>67</v>
      </c>
    </row>
    <row r="356" spans="1:7" ht="15" thickBot="1" x14ac:dyDescent="0.4">
      <c r="A356" s="171">
        <f>ROWS($A$6:A356)</f>
        <v>351</v>
      </c>
      <c r="B356" s="168" t="s">
        <v>64</v>
      </c>
      <c r="C356" s="168" t="s">
        <v>929</v>
      </c>
      <c r="D356" s="168" t="s">
        <v>930</v>
      </c>
      <c r="E356" s="168" t="s">
        <v>1281</v>
      </c>
      <c r="F356" s="168" t="s">
        <v>37</v>
      </c>
      <c r="G356" s="168" t="s">
        <v>67</v>
      </c>
    </row>
    <row r="357" spans="1:7" ht="15" thickBot="1" x14ac:dyDescent="0.4">
      <c r="A357" s="171">
        <f>ROWS($A$6:A357)</f>
        <v>352</v>
      </c>
      <c r="B357" s="168" t="s">
        <v>64</v>
      </c>
      <c r="C357" s="168" t="s">
        <v>931</v>
      </c>
      <c r="D357" s="168" t="s">
        <v>932</v>
      </c>
      <c r="E357" s="168" t="s">
        <v>1281</v>
      </c>
      <c r="F357" s="168" t="s">
        <v>39</v>
      </c>
      <c r="G357" s="168" t="s">
        <v>68</v>
      </c>
    </row>
    <row r="358" spans="1:7" ht="15" thickBot="1" x14ac:dyDescent="0.4">
      <c r="A358" s="171">
        <f>ROWS($A$6:A358)</f>
        <v>353</v>
      </c>
      <c r="B358" s="168" t="s">
        <v>64</v>
      </c>
      <c r="C358" s="168" t="s">
        <v>933</v>
      </c>
      <c r="D358" s="168" t="s">
        <v>934</v>
      </c>
      <c r="E358" s="168" t="s">
        <v>1281</v>
      </c>
      <c r="F358" s="168" t="s">
        <v>37</v>
      </c>
      <c r="G358" s="168" t="s">
        <v>67</v>
      </c>
    </row>
    <row r="359" spans="1:7" ht="15" thickBot="1" x14ac:dyDescent="0.4">
      <c r="A359" s="171">
        <f>ROWS($A$6:A359)</f>
        <v>354</v>
      </c>
      <c r="B359" s="168" t="s">
        <v>64</v>
      </c>
      <c r="C359" s="168" t="s">
        <v>935</v>
      </c>
      <c r="D359" s="168" t="s">
        <v>936</v>
      </c>
      <c r="E359" s="168" t="s">
        <v>1281</v>
      </c>
      <c r="F359" s="168" t="s">
        <v>37</v>
      </c>
      <c r="G359" s="168" t="s">
        <v>67</v>
      </c>
    </row>
    <row r="360" spans="1:7" ht="15" thickBot="1" x14ac:dyDescent="0.4">
      <c r="A360" s="171">
        <f>ROWS($A$6:A360)</f>
        <v>355</v>
      </c>
      <c r="B360" s="168" t="s">
        <v>64</v>
      </c>
      <c r="C360" s="168" t="s">
        <v>937</v>
      </c>
      <c r="D360" s="168" t="s">
        <v>938</v>
      </c>
      <c r="E360" s="168" t="s">
        <v>1281</v>
      </c>
      <c r="F360" s="168" t="s">
        <v>39</v>
      </c>
      <c r="G360" s="168" t="s">
        <v>68</v>
      </c>
    </row>
    <row r="361" spans="1:7" ht="15" thickBot="1" x14ac:dyDescent="0.4">
      <c r="A361" s="171">
        <f>ROWS($A$6:A361)</f>
        <v>356</v>
      </c>
      <c r="B361" s="168" t="s">
        <v>64</v>
      </c>
      <c r="C361" s="168" t="s">
        <v>939</v>
      </c>
      <c r="D361" s="168" t="s">
        <v>940</v>
      </c>
      <c r="E361" s="168" t="s">
        <v>1281</v>
      </c>
      <c r="F361" s="168" t="s">
        <v>37</v>
      </c>
      <c r="G361" s="168" t="s">
        <v>67</v>
      </c>
    </row>
    <row r="362" spans="1:7" ht="15" thickBot="1" x14ac:dyDescent="0.4">
      <c r="A362" s="171">
        <f>ROWS($A$6:A362)</f>
        <v>357</v>
      </c>
      <c r="B362" s="168" t="s">
        <v>64</v>
      </c>
      <c r="C362" s="168" t="s">
        <v>941</v>
      </c>
      <c r="D362" s="168" t="s">
        <v>942</v>
      </c>
      <c r="E362" s="168" t="s">
        <v>1281</v>
      </c>
      <c r="F362" s="168" t="s">
        <v>39</v>
      </c>
      <c r="G362" s="168" t="s">
        <v>68</v>
      </c>
    </row>
    <row r="363" spans="1:7" ht="15" thickBot="1" x14ac:dyDescent="0.4">
      <c r="A363" s="171">
        <f>ROWS($A$6:A363)</f>
        <v>358</v>
      </c>
      <c r="B363" s="168" t="s">
        <v>64</v>
      </c>
      <c r="C363" s="168" t="s">
        <v>943</v>
      </c>
      <c r="D363" s="168" t="s">
        <v>944</v>
      </c>
      <c r="E363" s="168" t="s">
        <v>1281</v>
      </c>
      <c r="F363" s="168" t="s">
        <v>37</v>
      </c>
      <c r="G363" s="168" t="s">
        <v>67</v>
      </c>
    </row>
    <row r="364" spans="1:7" ht="15" thickBot="1" x14ac:dyDescent="0.4">
      <c r="A364" s="171">
        <f>ROWS($A$6:A364)</f>
        <v>359</v>
      </c>
      <c r="B364" s="168" t="s">
        <v>64</v>
      </c>
      <c r="C364" s="168" t="s">
        <v>945</v>
      </c>
      <c r="D364" s="168" t="s">
        <v>946</v>
      </c>
      <c r="E364" s="168" t="s">
        <v>1281</v>
      </c>
      <c r="F364" s="168" t="s">
        <v>37</v>
      </c>
      <c r="G364" s="168" t="s">
        <v>67</v>
      </c>
    </row>
    <row r="365" spans="1:7" ht="15" thickBot="1" x14ac:dyDescent="0.4">
      <c r="A365" s="171">
        <f>ROWS($A$6:A365)</f>
        <v>360</v>
      </c>
      <c r="B365" s="168" t="s">
        <v>64</v>
      </c>
      <c r="C365" s="168" t="s">
        <v>947</v>
      </c>
      <c r="D365" s="168" t="s">
        <v>947</v>
      </c>
      <c r="E365" s="168" t="s">
        <v>1281</v>
      </c>
      <c r="F365" s="168" t="s">
        <v>37</v>
      </c>
      <c r="G365" s="168" t="s">
        <v>67</v>
      </c>
    </row>
    <row r="366" spans="1:7" ht="15" thickBot="1" x14ac:dyDescent="0.4">
      <c r="A366" s="171">
        <f>ROWS($A$6:A366)</f>
        <v>361</v>
      </c>
      <c r="B366" s="168" t="s">
        <v>64</v>
      </c>
      <c r="C366" s="168" t="s">
        <v>948</v>
      </c>
      <c r="D366" s="168" t="s">
        <v>949</v>
      </c>
      <c r="E366" s="168" t="s">
        <v>1281</v>
      </c>
      <c r="F366" s="168" t="s">
        <v>37</v>
      </c>
      <c r="G366" s="168" t="s">
        <v>67</v>
      </c>
    </row>
    <row r="367" spans="1:7" ht="15" thickBot="1" x14ac:dyDescent="0.4">
      <c r="A367" s="171">
        <f>ROWS($A$6:A367)</f>
        <v>362</v>
      </c>
      <c r="B367" s="168" t="s">
        <v>64</v>
      </c>
      <c r="C367" s="168" t="s">
        <v>950</v>
      </c>
      <c r="D367" s="168" t="s">
        <v>951</v>
      </c>
      <c r="E367" s="168" t="s">
        <v>1281</v>
      </c>
      <c r="F367" s="168" t="s">
        <v>37</v>
      </c>
      <c r="G367" s="168" t="s">
        <v>67</v>
      </c>
    </row>
    <row r="368" spans="1:7" ht="15" thickBot="1" x14ac:dyDescent="0.4">
      <c r="A368" s="171">
        <f>ROWS($A$6:A368)</f>
        <v>363</v>
      </c>
      <c r="B368" s="168" t="s">
        <v>64</v>
      </c>
      <c r="C368" s="168" t="s">
        <v>952</v>
      </c>
      <c r="D368" s="168" t="s">
        <v>953</v>
      </c>
      <c r="E368" s="168" t="s">
        <v>1281</v>
      </c>
      <c r="F368" s="168" t="s">
        <v>37</v>
      </c>
      <c r="G368" s="168" t="s">
        <v>67</v>
      </c>
    </row>
    <row r="369" spans="1:7" ht="15" thickBot="1" x14ac:dyDescent="0.4">
      <c r="A369" s="171">
        <f>ROWS($A$6:A369)</f>
        <v>364</v>
      </c>
      <c r="B369" s="168" t="s">
        <v>64</v>
      </c>
      <c r="C369" s="168" t="s">
        <v>954</v>
      </c>
      <c r="D369" s="168" t="s">
        <v>955</v>
      </c>
      <c r="E369" s="168" t="s">
        <v>1281</v>
      </c>
      <c r="F369" s="168" t="s">
        <v>37</v>
      </c>
      <c r="G369" s="168" t="s">
        <v>67</v>
      </c>
    </row>
    <row r="370" spans="1:7" ht="15" thickBot="1" x14ac:dyDescent="0.4">
      <c r="A370" s="171">
        <f>ROWS($A$6:A370)</f>
        <v>365</v>
      </c>
      <c r="B370" s="168" t="s">
        <v>64</v>
      </c>
      <c r="C370" s="168" t="s">
        <v>956</v>
      </c>
      <c r="D370" s="168" t="s">
        <v>957</v>
      </c>
      <c r="E370" s="168" t="s">
        <v>1281</v>
      </c>
      <c r="F370" s="168" t="s">
        <v>37</v>
      </c>
      <c r="G370" s="168" t="s">
        <v>67</v>
      </c>
    </row>
    <row r="371" spans="1:7" ht="15" thickBot="1" x14ac:dyDescent="0.4">
      <c r="A371" s="171">
        <f>ROWS($A$6:A371)</f>
        <v>366</v>
      </c>
      <c r="B371" s="168" t="s">
        <v>64</v>
      </c>
      <c r="C371" s="168" t="s">
        <v>958</v>
      </c>
      <c r="D371" s="168" t="s">
        <v>959</v>
      </c>
      <c r="E371" s="168" t="s">
        <v>1281</v>
      </c>
      <c r="F371" s="168" t="s">
        <v>39</v>
      </c>
      <c r="G371" s="168" t="s">
        <v>68</v>
      </c>
    </row>
    <row r="372" spans="1:7" ht="15" thickBot="1" x14ac:dyDescent="0.4">
      <c r="A372" s="171">
        <f>ROWS($A$6:A372)</f>
        <v>367</v>
      </c>
      <c r="B372" s="168" t="s">
        <v>64</v>
      </c>
      <c r="C372" s="168" t="s">
        <v>960</v>
      </c>
      <c r="D372" s="168" t="s">
        <v>961</v>
      </c>
      <c r="E372" s="168" t="s">
        <v>1281</v>
      </c>
      <c r="F372" s="168" t="s">
        <v>39</v>
      </c>
      <c r="G372" s="168" t="s">
        <v>68</v>
      </c>
    </row>
    <row r="373" spans="1:7" ht="15" thickBot="1" x14ac:dyDescent="0.4">
      <c r="A373" s="171">
        <f>ROWS($A$6:A373)</f>
        <v>368</v>
      </c>
      <c r="B373" s="168" t="s">
        <v>64</v>
      </c>
      <c r="C373" s="168" t="s">
        <v>962</v>
      </c>
      <c r="D373" s="168" t="s">
        <v>963</v>
      </c>
      <c r="E373" s="168" t="s">
        <v>1281</v>
      </c>
      <c r="F373" s="168" t="s">
        <v>37</v>
      </c>
      <c r="G373" s="168" t="s">
        <v>67</v>
      </c>
    </row>
    <row r="374" spans="1:7" ht="15" thickBot="1" x14ac:dyDescent="0.4">
      <c r="A374" s="171">
        <f>ROWS($A$6:A374)</f>
        <v>369</v>
      </c>
      <c r="B374" s="168" t="s">
        <v>64</v>
      </c>
      <c r="C374" s="168" t="s">
        <v>964</v>
      </c>
      <c r="D374" s="168" t="s">
        <v>965</v>
      </c>
      <c r="E374" s="168" t="s">
        <v>1281</v>
      </c>
      <c r="F374" s="168" t="s">
        <v>39</v>
      </c>
      <c r="G374" s="168" t="s">
        <v>68</v>
      </c>
    </row>
    <row r="375" spans="1:7" ht="15" thickBot="1" x14ac:dyDescent="0.4">
      <c r="A375" s="171">
        <f>ROWS($A$6:A375)</f>
        <v>370</v>
      </c>
      <c r="B375" s="168" t="s">
        <v>64</v>
      </c>
      <c r="C375" s="168" t="s">
        <v>966</v>
      </c>
      <c r="D375" s="168" t="s">
        <v>967</v>
      </c>
      <c r="E375" s="168" t="s">
        <v>1281</v>
      </c>
      <c r="F375" s="168" t="s">
        <v>37</v>
      </c>
      <c r="G375" s="168" t="s">
        <v>67</v>
      </c>
    </row>
    <row r="376" spans="1:7" ht="15" thickBot="1" x14ac:dyDescent="0.4">
      <c r="A376" s="171">
        <f>ROWS($A$6:A376)</f>
        <v>371</v>
      </c>
      <c r="B376" s="168" t="s">
        <v>64</v>
      </c>
      <c r="C376" s="168" t="s">
        <v>968</v>
      </c>
      <c r="D376" s="168" t="s">
        <v>969</v>
      </c>
      <c r="E376" s="168" t="s">
        <v>1281</v>
      </c>
      <c r="F376" s="168" t="s">
        <v>39</v>
      </c>
      <c r="G376" s="168" t="s">
        <v>68</v>
      </c>
    </row>
    <row r="377" spans="1:7" ht="15" thickBot="1" x14ac:dyDescent="0.4">
      <c r="A377" s="171">
        <f>ROWS($A$6:A377)</f>
        <v>372</v>
      </c>
      <c r="B377" s="168" t="s">
        <v>64</v>
      </c>
      <c r="C377" s="168" t="s">
        <v>970</v>
      </c>
      <c r="D377" s="168" t="s">
        <v>971</v>
      </c>
      <c r="E377" s="168" t="s">
        <v>1281</v>
      </c>
      <c r="F377" s="168" t="s">
        <v>37</v>
      </c>
      <c r="G377" s="168" t="s">
        <v>67</v>
      </c>
    </row>
    <row r="378" spans="1:7" ht="15" thickBot="1" x14ac:dyDescent="0.4">
      <c r="A378" s="171">
        <f>ROWS($A$6:A378)</f>
        <v>373</v>
      </c>
      <c r="B378" s="168" t="s">
        <v>64</v>
      </c>
      <c r="C378" s="168" t="s">
        <v>972</v>
      </c>
      <c r="D378" s="168" t="s">
        <v>973</v>
      </c>
      <c r="E378" s="168" t="s">
        <v>1281</v>
      </c>
      <c r="F378" s="168" t="s">
        <v>39</v>
      </c>
      <c r="G378" s="168" t="s">
        <v>68</v>
      </c>
    </row>
    <row r="379" spans="1:7" ht="15" thickBot="1" x14ac:dyDescent="0.4">
      <c r="A379" s="171">
        <f>ROWS($A$6:A379)</f>
        <v>374</v>
      </c>
      <c r="B379" s="168" t="s">
        <v>64</v>
      </c>
      <c r="C379" s="168" t="s">
        <v>974</v>
      </c>
      <c r="D379" s="168" t="s">
        <v>975</v>
      </c>
      <c r="E379" s="168" t="s">
        <v>1281</v>
      </c>
      <c r="F379" s="168" t="s">
        <v>36</v>
      </c>
      <c r="G379" s="168" t="s">
        <v>67</v>
      </c>
    </row>
    <row r="380" spans="1:7" ht="15" thickBot="1" x14ac:dyDescent="0.4">
      <c r="A380" s="171">
        <f>ROWS($A$6:A380)</f>
        <v>375</v>
      </c>
      <c r="B380" s="168" t="s">
        <v>64</v>
      </c>
      <c r="C380" s="168" t="s">
        <v>976</v>
      </c>
      <c r="D380" s="168" t="s">
        <v>977</v>
      </c>
      <c r="E380" s="168" t="s">
        <v>1281</v>
      </c>
      <c r="F380" s="168" t="s">
        <v>37</v>
      </c>
      <c r="G380" s="168" t="s">
        <v>67</v>
      </c>
    </row>
    <row r="381" spans="1:7" ht="15" thickBot="1" x14ac:dyDescent="0.4">
      <c r="A381" s="171">
        <f>ROWS($A$6:A381)</f>
        <v>376</v>
      </c>
      <c r="B381" s="168" t="s">
        <v>64</v>
      </c>
      <c r="C381" s="168" t="s">
        <v>978</v>
      </c>
      <c r="D381" s="168" t="s">
        <v>979</v>
      </c>
      <c r="E381" s="168" t="s">
        <v>1281</v>
      </c>
      <c r="F381" s="168" t="s">
        <v>37</v>
      </c>
      <c r="G381" s="168" t="s">
        <v>67</v>
      </c>
    </row>
    <row r="382" spans="1:7" ht="15" thickBot="1" x14ac:dyDescent="0.4">
      <c r="A382" s="171">
        <f>ROWS($A$6:A382)</f>
        <v>377</v>
      </c>
      <c r="B382" s="168" t="s">
        <v>64</v>
      </c>
      <c r="C382" s="168" t="s">
        <v>980</v>
      </c>
      <c r="D382" s="168" t="s">
        <v>981</v>
      </c>
      <c r="E382" s="168" t="s">
        <v>1281</v>
      </c>
      <c r="F382" s="168" t="s">
        <v>39</v>
      </c>
      <c r="G382" s="168" t="s">
        <v>68</v>
      </c>
    </row>
    <row r="383" spans="1:7" ht="15" thickBot="1" x14ac:dyDescent="0.4">
      <c r="A383" s="171">
        <f>ROWS($A$6:A383)</f>
        <v>378</v>
      </c>
      <c r="B383" s="168" t="s">
        <v>64</v>
      </c>
      <c r="C383" s="168" t="s">
        <v>982</v>
      </c>
      <c r="D383" s="168" t="s">
        <v>983</v>
      </c>
      <c r="E383" s="168" t="s">
        <v>1281</v>
      </c>
      <c r="F383" s="168" t="s">
        <v>37</v>
      </c>
      <c r="G383" s="168" t="s">
        <v>67</v>
      </c>
    </row>
    <row r="384" spans="1:7" ht="15" thickBot="1" x14ac:dyDescent="0.4">
      <c r="A384" s="171">
        <f>ROWS($A$6:A384)</f>
        <v>379</v>
      </c>
      <c r="B384" s="168" t="s">
        <v>64</v>
      </c>
      <c r="C384" s="168" t="s">
        <v>984</v>
      </c>
      <c r="D384" s="168" t="s">
        <v>985</v>
      </c>
      <c r="E384" s="168" t="s">
        <v>1281</v>
      </c>
      <c r="F384" s="168" t="s">
        <v>37</v>
      </c>
      <c r="G384" s="168" t="s">
        <v>67</v>
      </c>
    </row>
    <row r="385" spans="1:7" ht="15" thickBot="1" x14ac:dyDescent="0.4">
      <c r="A385" s="171">
        <f>ROWS($A$6:A385)</f>
        <v>380</v>
      </c>
      <c r="B385" s="168" t="s">
        <v>64</v>
      </c>
      <c r="C385" s="168" t="s">
        <v>986</v>
      </c>
      <c r="D385" s="168" t="s">
        <v>987</v>
      </c>
      <c r="E385" s="168" t="s">
        <v>1281</v>
      </c>
      <c r="F385" s="168" t="s">
        <v>39</v>
      </c>
      <c r="G385" s="168" t="s">
        <v>68</v>
      </c>
    </row>
    <row r="386" spans="1:7" ht="15" thickBot="1" x14ac:dyDescent="0.4">
      <c r="A386" s="171">
        <f>ROWS($A$6:A386)</f>
        <v>381</v>
      </c>
      <c r="B386" s="168" t="s">
        <v>64</v>
      </c>
      <c r="C386" s="168" t="s">
        <v>988</v>
      </c>
      <c r="D386" s="168" t="s">
        <v>989</v>
      </c>
      <c r="E386" s="168" t="s">
        <v>1281</v>
      </c>
      <c r="F386" s="168" t="s">
        <v>37</v>
      </c>
      <c r="G386" s="168" t="s">
        <v>67</v>
      </c>
    </row>
    <row r="387" spans="1:7" ht="15" thickBot="1" x14ac:dyDescent="0.4">
      <c r="A387" s="171">
        <f>ROWS($A$6:A387)</f>
        <v>382</v>
      </c>
      <c r="B387" s="168" t="s">
        <v>64</v>
      </c>
      <c r="C387" s="168" t="s">
        <v>990</v>
      </c>
      <c r="D387" s="168" t="s">
        <v>991</v>
      </c>
      <c r="E387" s="168" t="s">
        <v>1281</v>
      </c>
      <c r="F387" s="168" t="s">
        <v>40</v>
      </c>
      <c r="G387" s="168" t="s">
        <v>68</v>
      </c>
    </row>
    <row r="388" spans="1:7" ht="15" thickBot="1" x14ac:dyDescent="0.4">
      <c r="A388" s="171">
        <f>ROWS($A$6:A388)</f>
        <v>383</v>
      </c>
      <c r="B388" s="168" t="s">
        <v>64</v>
      </c>
      <c r="C388" s="168" t="s">
        <v>992</v>
      </c>
      <c r="D388" s="168" t="s">
        <v>993</v>
      </c>
      <c r="E388" s="168" t="s">
        <v>1281</v>
      </c>
      <c r="F388" s="168" t="s">
        <v>39</v>
      </c>
      <c r="G388" s="168" t="s">
        <v>68</v>
      </c>
    </row>
    <row r="389" spans="1:7" ht="15" thickBot="1" x14ac:dyDescent="0.4">
      <c r="A389" s="171">
        <f>ROWS($A$6:A389)</f>
        <v>384</v>
      </c>
      <c r="B389" s="168" t="s">
        <v>64</v>
      </c>
      <c r="C389" s="168" t="s">
        <v>994</v>
      </c>
      <c r="D389" s="168" t="s">
        <v>995</v>
      </c>
      <c r="E389" s="168" t="s">
        <v>1281</v>
      </c>
      <c r="F389" s="168" t="s">
        <v>39</v>
      </c>
      <c r="G389" s="168" t="s">
        <v>68</v>
      </c>
    </row>
    <row r="390" spans="1:7" ht="15" thickBot="1" x14ac:dyDescent="0.4">
      <c r="A390" s="171">
        <f>ROWS($A$6:A390)</f>
        <v>385</v>
      </c>
      <c r="B390" s="168" t="s">
        <v>64</v>
      </c>
      <c r="C390" s="168" t="s">
        <v>996</v>
      </c>
      <c r="D390" s="168" t="s">
        <v>997</v>
      </c>
      <c r="E390" s="168" t="s">
        <v>1281</v>
      </c>
      <c r="F390" s="168" t="s">
        <v>37</v>
      </c>
      <c r="G390" s="168" t="s">
        <v>67</v>
      </c>
    </row>
    <row r="391" spans="1:7" ht="15" thickBot="1" x14ac:dyDescent="0.4">
      <c r="A391" s="171">
        <f>ROWS($A$6:A391)</f>
        <v>386</v>
      </c>
      <c r="B391" s="168" t="s">
        <v>64</v>
      </c>
      <c r="C391" s="168" t="s">
        <v>998</v>
      </c>
      <c r="D391" s="168" t="s">
        <v>999</v>
      </c>
      <c r="E391" s="168" t="s">
        <v>1281</v>
      </c>
      <c r="F391" s="168" t="s">
        <v>37</v>
      </c>
      <c r="G391" s="168" t="s">
        <v>67</v>
      </c>
    </row>
    <row r="392" spans="1:7" ht="15" thickBot="1" x14ac:dyDescent="0.4">
      <c r="A392" s="171">
        <f>ROWS($A$6:A392)</f>
        <v>387</v>
      </c>
      <c r="B392" s="168" t="s">
        <v>64</v>
      </c>
      <c r="C392" s="168" t="s">
        <v>1000</v>
      </c>
      <c r="D392" s="168" t="s">
        <v>1001</v>
      </c>
      <c r="E392" s="168" t="s">
        <v>1281</v>
      </c>
      <c r="F392" s="168" t="s">
        <v>37</v>
      </c>
      <c r="G392" s="168" t="s">
        <v>67</v>
      </c>
    </row>
    <row r="393" spans="1:7" ht="15" thickBot="1" x14ac:dyDescent="0.4">
      <c r="A393" s="171">
        <f>ROWS($A$6:A393)</f>
        <v>388</v>
      </c>
      <c r="B393" s="168" t="s">
        <v>64</v>
      </c>
      <c r="C393" s="168" t="s">
        <v>1002</v>
      </c>
      <c r="D393" s="168" t="s">
        <v>1003</v>
      </c>
      <c r="E393" s="168" t="s">
        <v>1281</v>
      </c>
      <c r="F393" s="168" t="s">
        <v>37</v>
      </c>
      <c r="G393" s="168" t="s">
        <v>67</v>
      </c>
    </row>
    <row r="394" spans="1:7" ht="15" thickBot="1" x14ac:dyDescent="0.4">
      <c r="A394" s="171">
        <f>ROWS($A$6:A394)</f>
        <v>389</v>
      </c>
      <c r="B394" s="168" t="s">
        <v>64</v>
      </c>
      <c r="C394" s="168" t="s">
        <v>1004</v>
      </c>
      <c r="D394" s="168" t="s">
        <v>1005</v>
      </c>
      <c r="E394" s="168" t="s">
        <v>1281</v>
      </c>
      <c r="F394" s="168" t="s">
        <v>37</v>
      </c>
      <c r="G394" s="168" t="s">
        <v>67</v>
      </c>
    </row>
    <row r="395" spans="1:7" ht="15" thickBot="1" x14ac:dyDescent="0.4">
      <c r="A395" s="171">
        <f>ROWS($A$6:A395)</f>
        <v>390</v>
      </c>
      <c r="B395" s="168" t="s">
        <v>64</v>
      </c>
      <c r="C395" s="168" t="s">
        <v>1006</v>
      </c>
      <c r="D395" s="168" t="s">
        <v>1007</v>
      </c>
      <c r="E395" s="168" t="s">
        <v>1281</v>
      </c>
      <c r="F395" s="168" t="s">
        <v>37</v>
      </c>
      <c r="G395" s="168" t="s">
        <v>67</v>
      </c>
    </row>
    <row r="396" spans="1:7" ht="15" thickBot="1" x14ac:dyDescent="0.4">
      <c r="A396" s="171">
        <f>ROWS($A$6:A396)</f>
        <v>391</v>
      </c>
      <c r="B396" s="168" t="s">
        <v>64</v>
      </c>
      <c r="C396" s="168" t="s">
        <v>1008</v>
      </c>
      <c r="D396" s="168" t="s">
        <v>1008</v>
      </c>
      <c r="E396" s="168" t="s">
        <v>1281</v>
      </c>
      <c r="F396" s="168" t="s">
        <v>37</v>
      </c>
      <c r="G396" s="168" t="s">
        <v>67</v>
      </c>
    </row>
    <row r="397" spans="1:7" ht="15" thickBot="1" x14ac:dyDescent="0.4">
      <c r="A397" s="171">
        <f>ROWS($A$6:A397)</f>
        <v>392</v>
      </c>
      <c r="B397" s="168" t="s">
        <v>64</v>
      </c>
      <c r="C397" s="168" t="s">
        <v>1009</v>
      </c>
      <c r="D397" s="168" t="s">
        <v>1010</v>
      </c>
      <c r="E397" s="168" t="s">
        <v>1281</v>
      </c>
      <c r="F397" s="168" t="s">
        <v>37</v>
      </c>
      <c r="G397" s="168" t="s">
        <v>67</v>
      </c>
    </row>
    <row r="398" spans="1:7" ht="15" thickBot="1" x14ac:dyDescent="0.4">
      <c r="A398" s="171">
        <f>ROWS($A$6:A398)</f>
        <v>393</v>
      </c>
      <c r="B398" s="168" t="s">
        <v>64</v>
      </c>
      <c r="C398" s="168" t="s">
        <v>1011</v>
      </c>
      <c r="D398" s="168" t="s">
        <v>1012</v>
      </c>
      <c r="E398" s="168" t="s">
        <v>1281</v>
      </c>
      <c r="F398" s="168" t="s">
        <v>37</v>
      </c>
      <c r="G398" s="168" t="s">
        <v>67</v>
      </c>
    </row>
    <row r="399" spans="1:7" ht="15" thickBot="1" x14ac:dyDescent="0.4">
      <c r="A399" s="171">
        <f>ROWS($A$6:A399)</f>
        <v>394</v>
      </c>
      <c r="B399" s="168" t="s">
        <v>64</v>
      </c>
      <c r="C399" s="168" t="s">
        <v>641</v>
      </c>
      <c r="D399" s="168" t="s">
        <v>642</v>
      </c>
      <c r="E399" s="168" t="s">
        <v>1281</v>
      </c>
      <c r="F399" s="168" t="s">
        <v>39</v>
      </c>
      <c r="G399" s="168" t="s">
        <v>68</v>
      </c>
    </row>
    <row r="400" spans="1:7" ht="15" thickBot="1" x14ac:dyDescent="0.4">
      <c r="A400" s="171">
        <f>ROWS($A$6:A400)</f>
        <v>395</v>
      </c>
      <c r="B400" s="168" t="s">
        <v>64</v>
      </c>
      <c r="C400" s="168" t="s">
        <v>1013</v>
      </c>
      <c r="D400" s="168" t="s">
        <v>1014</v>
      </c>
      <c r="E400" s="168" t="s">
        <v>1281</v>
      </c>
      <c r="F400" s="168" t="s">
        <v>37</v>
      </c>
      <c r="G400" s="168" t="s">
        <v>67</v>
      </c>
    </row>
    <row r="401" spans="1:7" ht="15" thickBot="1" x14ac:dyDescent="0.4">
      <c r="A401" s="171">
        <f>ROWS($A$6:A401)</f>
        <v>396</v>
      </c>
      <c r="B401" s="168" t="s">
        <v>64</v>
      </c>
      <c r="C401" s="168" t="s">
        <v>1015</v>
      </c>
      <c r="D401" s="168" t="s">
        <v>1016</v>
      </c>
      <c r="E401" s="168" t="s">
        <v>1281</v>
      </c>
      <c r="F401" s="168" t="s">
        <v>37</v>
      </c>
      <c r="G401" s="168" t="s">
        <v>67</v>
      </c>
    </row>
    <row r="402" spans="1:7" ht="15" thickBot="1" x14ac:dyDescent="0.4">
      <c r="A402" s="171">
        <f>ROWS($A$6:A402)</f>
        <v>397</v>
      </c>
      <c r="B402" s="168" t="s">
        <v>64</v>
      </c>
      <c r="C402" s="168" t="s">
        <v>1017</v>
      </c>
      <c r="D402" s="168" t="s">
        <v>1018</v>
      </c>
      <c r="E402" s="168" t="s">
        <v>1281</v>
      </c>
      <c r="F402" s="168" t="s">
        <v>37</v>
      </c>
      <c r="G402" s="168" t="s">
        <v>67</v>
      </c>
    </row>
    <row r="403" spans="1:7" ht="15" thickBot="1" x14ac:dyDescent="0.4">
      <c r="A403" s="171">
        <f>ROWS($A$6:A403)</f>
        <v>398</v>
      </c>
      <c r="B403" s="168" t="s">
        <v>64</v>
      </c>
      <c r="C403" s="168" t="s">
        <v>1019</v>
      </c>
      <c r="D403" s="168" t="s">
        <v>1020</v>
      </c>
      <c r="E403" s="168" t="s">
        <v>1281</v>
      </c>
      <c r="F403" s="168" t="s">
        <v>37</v>
      </c>
      <c r="G403" s="168" t="s">
        <v>67</v>
      </c>
    </row>
    <row r="404" spans="1:7" ht="15" thickBot="1" x14ac:dyDescent="0.4">
      <c r="A404" s="171">
        <f>ROWS($A$6:A404)</f>
        <v>399</v>
      </c>
      <c r="B404" s="168" t="s">
        <v>64</v>
      </c>
      <c r="C404" s="168" t="s">
        <v>1021</v>
      </c>
      <c r="D404" s="168" t="s">
        <v>1022</v>
      </c>
      <c r="E404" s="168" t="s">
        <v>1281</v>
      </c>
      <c r="F404" s="168" t="s">
        <v>37</v>
      </c>
      <c r="G404" s="168" t="s">
        <v>67</v>
      </c>
    </row>
    <row r="405" spans="1:7" ht="15" thickBot="1" x14ac:dyDescent="0.4">
      <c r="A405" s="171">
        <f>ROWS($A$6:A405)</f>
        <v>400</v>
      </c>
      <c r="B405" s="168" t="s">
        <v>64</v>
      </c>
      <c r="C405" s="168" t="s">
        <v>1023</v>
      </c>
      <c r="D405" s="168" t="s">
        <v>1024</v>
      </c>
      <c r="E405" s="168" t="s">
        <v>1281</v>
      </c>
      <c r="F405" s="168" t="s">
        <v>39</v>
      </c>
      <c r="G405" s="168" t="s">
        <v>68</v>
      </c>
    </row>
    <row r="406" spans="1:7" ht="15" thickBot="1" x14ac:dyDescent="0.4">
      <c r="A406" s="171">
        <f>ROWS($A$6:A406)</f>
        <v>401</v>
      </c>
      <c r="B406" s="168" t="s">
        <v>64</v>
      </c>
      <c r="C406" s="168" t="s">
        <v>1025</v>
      </c>
      <c r="D406" s="168" t="s">
        <v>1026</v>
      </c>
      <c r="E406" s="168" t="s">
        <v>1281</v>
      </c>
      <c r="F406" s="168" t="s">
        <v>39</v>
      </c>
      <c r="G406" s="168" t="s">
        <v>68</v>
      </c>
    </row>
    <row r="407" spans="1:7" ht="15" thickBot="1" x14ac:dyDescent="0.4">
      <c r="A407" s="171">
        <f>ROWS($A$6:A407)</f>
        <v>402</v>
      </c>
      <c r="B407" s="168" t="s">
        <v>64</v>
      </c>
      <c r="C407" s="168" t="s">
        <v>1027</v>
      </c>
      <c r="D407" s="168" t="s">
        <v>1028</v>
      </c>
      <c r="E407" s="168" t="s">
        <v>1281</v>
      </c>
      <c r="F407" s="168" t="s">
        <v>37</v>
      </c>
      <c r="G407" s="168" t="s">
        <v>67</v>
      </c>
    </row>
    <row r="408" spans="1:7" ht="15" thickBot="1" x14ac:dyDescent="0.4">
      <c r="A408" s="171">
        <f>ROWS($A$6:A408)</f>
        <v>403</v>
      </c>
      <c r="B408" s="168" t="s">
        <v>64</v>
      </c>
      <c r="C408" s="168" t="s">
        <v>1029</v>
      </c>
      <c r="D408" s="168" t="s">
        <v>1030</v>
      </c>
      <c r="E408" s="168" t="s">
        <v>1281</v>
      </c>
      <c r="F408" s="168" t="s">
        <v>36</v>
      </c>
      <c r="G408" s="168" t="s">
        <v>67</v>
      </c>
    </row>
    <row r="409" spans="1:7" ht="15" thickBot="1" x14ac:dyDescent="0.4">
      <c r="A409" s="171">
        <f>ROWS($A$6:A409)</f>
        <v>404</v>
      </c>
      <c r="B409" s="168" t="s">
        <v>64</v>
      </c>
      <c r="C409" s="168" t="s">
        <v>1031</v>
      </c>
      <c r="D409" s="168" t="s">
        <v>1032</v>
      </c>
      <c r="E409" s="168" t="s">
        <v>1281</v>
      </c>
      <c r="F409" s="168" t="s">
        <v>39</v>
      </c>
      <c r="G409" s="168" t="s">
        <v>68</v>
      </c>
    </row>
    <row r="410" spans="1:7" ht="15" thickBot="1" x14ac:dyDescent="0.4">
      <c r="A410" s="171">
        <f>ROWS($A$6:A410)</f>
        <v>405</v>
      </c>
      <c r="B410" s="168" t="s">
        <v>64</v>
      </c>
      <c r="C410" s="168" t="s">
        <v>1033</v>
      </c>
      <c r="D410" s="168" t="s">
        <v>1034</v>
      </c>
      <c r="E410" s="168" t="s">
        <v>1281</v>
      </c>
      <c r="F410" s="168" t="s">
        <v>37</v>
      </c>
      <c r="G410" s="168" t="s">
        <v>67</v>
      </c>
    </row>
    <row r="411" spans="1:7" ht="15" thickBot="1" x14ac:dyDescent="0.4">
      <c r="A411" s="171">
        <f>ROWS($A$6:A411)</f>
        <v>406</v>
      </c>
      <c r="B411" s="168" t="s">
        <v>64</v>
      </c>
      <c r="C411" s="168" t="s">
        <v>1035</v>
      </c>
      <c r="D411" s="168" t="s">
        <v>1036</v>
      </c>
      <c r="E411" s="168" t="s">
        <v>1281</v>
      </c>
      <c r="F411" s="168" t="s">
        <v>37</v>
      </c>
      <c r="G411" s="168" t="s">
        <v>67</v>
      </c>
    </row>
    <row r="412" spans="1:7" ht="15" thickBot="1" x14ac:dyDescent="0.4">
      <c r="A412" s="171">
        <f>ROWS($A$6:A412)</f>
        <v>407</v>
      </c>
      <c r="B412" s="168" t="s">
        <v>64</v>
      </c>
      <c r="C412" s="168" t="s">
        <v>1037</v>
      </c>
      <c r="D412" s="168" t="s">
        <v>1038</v>
      </c>
      <c r="E412" s="168" t="s">
        <v>1281</v>
      </c>
      <c r="F412" s="168" t="s">
        <v>37</v>
      </c>
      <c r="G412" s="168" t="s">
        <v>67</v>
      </c>
    </row>
    <row r="413" spans="1:7" ht="15" thickBot="1" x14ac:dyDescent="0.4">
      <c r="A413" s="171">
        <f>ROWS($A$6:A413)</f>
        <v>408</v>
      </c>
      <c r="B413" s="168" t="s">
        <v>64</v>
      </c>
      <c r="C413" s="168" t="s">
        <v>1039</v>
      </c>
      <c r="D413" s="168" t="s">
        <v>1040</v>
      </c>
      <c r="E413" s="168" t="s">
        <v>1281</v>
      </c>
      <c r="F413" s="168" t="s">
        <v>37</v>
      </c>
      <c r="G413" s="168" t="s">
        <v>67</v>
      </c>
    </row>
    <row r="414" spans="1:7" ht="15" thickBot="1" x14ac:dyDescent="0.4">
      <c r="A414" s="171">
        <f>ROWS($A$6:A414)</f>
        <v>409</v>
      </c>
      <c r="B414" s="168" t="s">
        <v>64</v>
      </c>
      <c r="C414" s="168" t="s">
        <v>1041</v>
      </c>
      <c r="D414" s="168" t="s">
        <v>1042</v>
      </c>
      <c r="E414" s="168" t="s">
        <v>1281</v>
      </c>
      <c r="F414" s="168" t="s">
        <v>37</v>
      </c>
      <c r="G414" s="168" t="s">
        <v>67</v>
      </c>
    </row>
    <row r="415" spans="1:7" ht="15" thickBot="1" x14ac:dyDescent="0.4">
      <c r="A415" s="171">
        <f>ROWS($A$6:A415)</f>
        <v>410</v>
      </c>
      <c r="B415" s="168" t="s">
        <v>64</v>
      </c>
      <c r="C415" s="168" t="s">
        <v>1043</v>
      </c>
      <c r="D415" s="168" t="s">
        <v>1043</v>
      </c>
      <c r="E415" s="168" t="s">
        <v>1281</v>
      </c>
      <c r="F415" s="168" t="s">
        <v>37</v>
      </c>
      <c r="G415" s="168" t="s">
        <v>67</v>
      </c>
    </row>
    <row r="416" spans="1:7" ht="15" thickBot="1" x14ac:dyDescent="0.4">
      <c r="A416" s="171">
        <f>ROWS($A$6:A416)</f>
        <v>411</v>
      </c>
      <c r="B416" s="168" t="s">
        <v>64</v>
      </c>
      <c r="C416" s="168" t="s">
        <v>1044</v>
      </c>
      <c r="D416" s="168" t="s">
        <v>1045</v>
      </c>
      <c r="E416" s="168" t="s">
        <v>1281</v>
      </c>
      <c r="F416" s="168" t="s">
        <v>39</v>
      </c>
      <c r="G416" s="168" t="s">
        <v>68</v>
      </c>
    </row>
    <row r="417" spans="1:7" ht="15" thickBot="1" x14ac:dyDescent="0.4">
      <c r="A417" s="171">
        <f>ROWS($A$6:A417)</f>
        <v>412</v>
      </c>
      <c r="B417" s="168" t="s">
        <v>64</v>
      </c>
      <c r="C417" s="168" t="s">
        <v>681</v>
      </c>
      <c r="D417" s="168" t="s">
        <v>681</v>
      </c>
      <c r="E417" s="168" t="s">
        <v>1281</v>
      </c>
      <c r="F417" s="168" t="s">
        <v>41</v>
      </c>
      <c r="G417" s="168" t="s">
        <v>68</v>
      </c>
    </row>
    <row r="418" spans="1:7" ht="15" thickBot="1" x14ac:dyDescent="0.4">
      <c r="A418" s="171">
        <f>ROWS($A$6:A418)</f>
        <v>413</v>
      </c>
      <c r="B418" s="168" t="s">
        <v>64</v>
      </c>
      <c r="C418" s="168" t="s">
        <v>1046</v>
      </c>
      <c r="D418" s="168" t="s">
        <v>1047</v>
      </c>
      <c r="E418" s="168" t="s">
        <v>1281</v>
      </c>
      <c r="F418" s="168" t="s">
        <v>37</v>
      </c>
      <c r="G418" s="168" t="s">
        <v>67</v>
      </c>
    </row>
    <row r="419" spans="1:7" ht="15" thickBot="1" x14ac:dyDescent="0.4">
      <c r="A419" s="171">
        <f>ROWS($A$6:A419)</f>
        <v>414</v>
      </c>
      <c r="B419" s="168" t="s">
        <v>64</v>
      </c>
      <c r="C419" s="168" t="s">
        <v>1048</v>
      </c>
      <c r="D419" s="168" t="s">
        <v>1048</v>
      </c>
      <c r="E419" s="168" t="s">
        <v>1281</v>
      </c>
      <c r="F419" s="168" t="s">
        <v>37</v>
      </c>
      <c r="G419" s="168" t="s">
        <v>67</v>
      </c>
    </row>
    <row r="420" spans="1:7" ht="15" thickBot="1" x14ac:dyDescent="0.4">
      <c r="A420" s="171">
        <f>ROWS($A$6:A420)</f>
        <v>415</v>
      </c>
      <c r="B420" s="168" t="s">
        <v>64</v>
      </c>
      <c r="C420" s="168" t="s">
        <v>1049</v>
      </c>
      <c r="D420" s="168" t="s">
        <v>1049</v>
      </c>
      <c r="E420" s="168" t="s">
        <v>1281</v>
      </c>
      <c r="F420" s="168" t="s">
        <v>36</v>
      </c>
      <c r="G420" s="168" t="s">
        <v>67</v>
      </c>
    </row>
    <row r="421" spans="1:7" ht="15" thickBot="1" x14ac:dyDescent="0.4">
      <c r="A421" s="171">
        <f>ROWS($A$6:A421)</f>
        <v>416</v>
      </c>
      <c r="B421" s="168" t="s">
        <v>64</v>
      </c>
      <c r="C421" s="168" t="s">
        <v>1050</v>
      </c>
      <c r="D421" s="168" t="s">
        <v>1050</v>
      </c>
      <c r="E421" s="168" t="s">
        <v>1281</v>
      </c>
      <c r="F421" s="168" t="s">
        <v>38</v>
      </c>
      <c r="G421" s="168" t="s">
        <v>68</v>
      </c>
    </row>
    <row r="422" spans="1:7" ht="15" thickBot="1" x14ac:dyDescent="0.4">
      <c r="A422" s="171">
        <f>ROWS($A$6:A422)</f>
        <v>417</v>
      </c>
      <c r="B422" s="168" t="s">
        <v>64</v>
      </c>
      <c r="C422" s="168" t="s">
        <v>1051</v>
      </c>
      <c r="D422" s="168" t="s">
        <v>1051</v>
      </c>
      <c r="E422" s="168" t="s">
        <v>1281</v>
      </c>
      <c r="F422" s="168" t="s">
        <v>37</v>
      </c>
      <c r="G422" s="168" t="s">
        <v>67</v>
      </c>
    </row>
    <row r="423" spans="1:7" ht="15" thickBot="1" x14ac:dyDescent="0.4">
      <c r="A423" s="171">
        <f>ROWS($A$6:A423)</f>
        <v>418</v>
      </c>
      <c r="B423" s="168" t="s">
        <v>64</v>
      </c>
      <c r="C423" s="168" t="s">
        <v>1052</v>
      </c>
      <c r="D423" s="168" t="s">
        <v>1053</v>
      </c>
      <c r="E423" s="168" t="s">
        <v>1281</v>
      </c>
      <c r="F423" s="168" t="s">
        <v>37</v>
      </c>
      <c r="G423" s="168" t="s">
        <v>67</v>
      </c>
    </row>
    <row r="424" spans="1:7" ht="15" thickBot="1" x14ac:dyDescent="0.4">
      <c r="A424" s="171">
        <f>ROWS($A$6:A424)</f>
        <v>419</v>
      </c>
      <c r="B424" s="168" t="s">
        <v>64</v>
      </c>
      <c r="C424" s="168" t="s">
        <v>1054</v>
      </c>
      <c r="D424" s="168" t="s">
        <v>1054</v>
      </c>
      <c r="E424" s="168" t="s">
        <v>1281</v>
      </c>
      <c r="F424" s="168" t="s">
        <v>240</v>
      </c>
      <c r="G424" s="168" t="s">
        <v>240</v>
      </c>
    </row>
    <row r="425" spans="1:7" ht="15" thickBot="1" x14ac:dyDescent="0.4">
      <c r="A425" s="171">
        <f>ROWS($A$6:A425)</f>
        <v>420</v>
      </c>
      <c r="B425" s="168" t="s">
        <v>64</v>
      </c>
      <c r="C425" s="168" t="s">
        <v>1055</v>
      </c>
      <c r="D425" s="168" t="s">
        <v>1056</v>
      </c>
      <c r="E425" s="168" t="s">
        <v>1281</v>
      </c>
      <c r="F425" s="168" t="s">
        <v>39</v>
      </c>
      <c r="G425" s="168" t="s">
        <v>68</v>
      </c>
    </row>
    <row r="426" spans="1:7" ht="15" thickBot="1" x14ac:dyDescent="0.4">
      <c r="A426" s="171">
        <f>ROWS($A$6:A426)</f>
        <v>421</v>
      </c>
      <c r="B426" s="168" t="s">
        <v>64</v>
      </c>
      <c r="C426" s="168" t="s">
        <v>1057</v>
      </c>
      <c r="D426" s="168" t="s">
        <v>1058</v>
      </c>
      <c r="E426" s="168" t="s">
        <v>1281</v>
      </c>
      <c r="F426" s="168" t="s">
        <v>37</v>
      </c>
      <c r="G426" s="168" t="s">
        <v>67</v>
      </c>
    </row>
    <row r="427" spans="1:7" ht="15" thickBot="1" x14ac:dyDescent="0.4">
      <c r="A427" s="171">
        <f>ROWS($A$6:A427)</f>
        <v>422</v>
      </c>
      <c r="B427" s="168" t="s">
        <v>64</v>
      </c>
      <c r="C427" s="168" t="s">
        <v>1059</v>
      </c>
      <c r="D427" s="168" t="s">
        <v>1060</v>
      </c>
      <c r="E427" s="168" t="s">
        <v>1281</v>
      </c>
      <c r="F427" s="168" t="s">
        <v>37</v>
      </c>
      <c r="G427" s="168" t="s">
        <v>67</v>
      </c>
    </row>
    <row r="428" spans="1:7" ht="15" thickBot="1" x14ac:dyDescent="0.4">
      <c r="A428" s="171">
        <f>ROWS($A$6:A428)</f>
        <v>423</v>
      </c>
      <c r="B428" s="168" t="s">
        <v>64</v>
      </c>
      <c r="C428" s="168" t="s">
        <v>1061</v>
      </c>
      <c r="D428" s="168" t="s">
        <v>1061</v>
      </c>
      <c r="E428" s="168" t="s">
        <v>1281</v>
      </c>
      <c r="F428" s="168" t="s">
        <v>37</v>
      </c>
      <c r="G428" s="168" t="s">
        <v>67</v>
      </c>
    </row>
    <row r="429" spans="1:7" ht="15" thickBot="1" x14ac:dyDescent="0.4">
      <c r="A429" s="171">
        <f>ROWS($A$6:A429)</f>
        <v>424</v>
      </c>
      <c r="B429" s="168" t="s">
        <v>64</v>
      </c>
      <c r="C429" s="168" t="s">
        <v>1062</v>
      </c>
      <c r="D429" s="168" t="s">
        <v>1063</v>
      </c>
      <c r="E429" s="168" t="s">
        <v>1281</v>
      </c>
      <c r="F429" s="168" t="s">
        <v>37</v>
      </c>
      <c r="G429" s="168" t="s">
        <v>67</v>
      </c>
    </row>
    <row r="430" spans="1:7" ht="15" thickBot="1" x14ac:dyDescent="0.4">
      <c r="A430" s="171">
        <f>ROWS($A$6:A430)</f>
        <v>425</v>
      </c>
      <c r="B430" s="168" t="s">
        <v>64</v>
      </c>
      <c r="C430" s="168" t="s">
        <v>1064</v>
      </c>
      <c r="D430" s="168" t="s">
        <v>1065</v>
      </c>
      <c r="E430" s="168" t="s">
        <v>1281</v>
      </c>
      <c r="F430" s="168" t="s">
        <v>39</v>
      </c>
      <c r="G430" s="168" t="s">
        <v>68</v>
      </c>
    </row>
    <row r="431" spans="1:7" ht="15" thickBot="1" x14ac:dyDescent="0.4">
      <c r="A431" s="171">
        <f>ROWS($A$6:A431)</f>
        <v>426</v>
      </c>
      <c r="B431" s="168" t="s">
        <v>64</v>
      </c>
      <c r="C431" s="168" t="s">
        <v>1066</v>
      </c>
      <c r="D431" s="168" t="s">
        <v>1067</v>
      </c>
      <c r="E431" s="168" t="s">
        <v>1281</v>
      </c>
      <c r="F431" s="168" t="s">
        <v>40</v>
      </c>
      <c r="G431" s="168" t="s">
        <v>68</v>
      </c>
    </row>
    <row r="432" spans="1:7" ht="15" thickBot="1" x14ac:dyDescent="0.4">
      <c r="A432" s="171">
        <f>ROWS($A$6:A432)</f>
        <v>427</v>
      </c>
      <c r="B432" s="168" t="s">
        <v>64</v>
      </c>
      <c r="C432" s="168" t="s">
        <v>1068</v>
      </c>
      <c r="D432" s="168" t="s">
        <v>1069</v>
      </c>
      <c r="E432" s="168" t="s">
        <v>1281</v>
      </c>
      <c r="F432" s="168" t="s">
        <v>40</v>
      </c>
      <c r="G432" s="168" t="s">
        <v>68</v>
      </c>
    </row>
    <row r="433" spans="1:7" ht="15" thickBot="1" x14ac:dyDescent="0.4">
      <c r="A433" s="171">
        <f>ROWS($A$6:A433)</f>
        <v>428</v>
      </c>
      <c r="B433" s="168" t="s">
        <v>64</v>
      </c>
      <c r="C433" s="168" t="s">
        <v>1070</v>
      </c>
      <c r="D433" s="168" t="s">
        <v>1071</v>
      </c>
      <c r="E433" s="168" t="s">
        <v>1281</v>
      </c>
      <c r="F433" s="168" t="s">
        <v>39</v>
      </c>
      <c r="G433" s="168" t="s">
        <v>68</v>
      </c>
    </row>
    <row r="434" spans="1:7" ht="15" thickBot="1" x14ac:dyDescent="0.4">
      <c r="A434" s="171">
        <f>ROWS($A$6:A434)</f>
        <v>429</v>
      </c>
      <c r="B434" s="168" t="s">
        <v>64</v>
      </c>
      <c r="C434" s="168" t="s">
        <v>1072</v>
      </c>
      <c r="D434" s="168" t="s">
        <v>1073</v>
      </c>
      <c r="E434" s="168" t="s">
        <v>1281</v>
      </c>
      <c r="F434" s="168" t="s">
        <v>240</v>
      </c>
      <c r="G434" s="168" t="s">
        <v>240</v>
      </c>
    </row>
    <row r="435" spans="1:7" ht="15" thickBot="1" x14ac:dyDescent="0.4">
      <c r="A435" s="171">
        <f>ROWS($A$6:A435)</f>
        <v>430</v>
      </c>
      <c r="B435" s="168" t="s">
        <v>64</v>
      </c>
      <c r="C435" s="168" t="s">
        <v>1074</v>
      </c>
      <c r="D435" s="168" t="s">
        <v>1075</v>
      </c>
      <c r="E435" s="168" t="s">
        <v>1281</v>
      </c>
      <c r="F435" s="168" t="s">
        <v>37</v>
      </c>
      <c r="G435" s="168" t="s">
        <v>67</v>
      </c>
    </row>
    <row r="436" spans="1:7" ht="15" thickBot="1" x14ac:dyDescent="0.4">
      <c r="A436" s="171">
        <f>ROWS($A$6:A436)</f>
        <v>431</v>
      </c>
      <c r="B436" s="168" t="s">
        <v>64</v>
      </c>
      <c r="C436" s="168" t="s">
        <v>1076</v>
      </c>
      <c r="D436" s="168" t="s">
        <v>1077</v>
      </c>
      <c r="E436" s="168" t="s">
        <v>1281</v>
      </c>
      <c r="F436" s="168" t="s">
        <v>40</v>
      </c>
      <c r="G436" s="168" t="s">
        <v>68</v>
      </c>
    </row>
    <row r="437" spans="1:7" ht="15" thickBot="1" x14ac:dyDescent="0.4">
      <c r="A437" s="171">
        <f>ROWS($A$6:A437)</f>
        <v>432</v>
      </c>
      <c r="B437" s="168" t="s">
        <v>64</v>
      </c>
      <c r="C437" s="168" t="s">
        <v>1078</v>
      </c>
      <c r="D437" s="168" t="s">
        <v>1079</v>
      </c>
      <c r="E437" s="168" t="s">
        <v>1281</v>
      </c>
      <c r="F437" s="168" t="s">
        <v>37</v>
      </c>
      <c r="G437" s="168" t="s">
        <v>67</v>
      </c>
    </row>
    <row r="438" spans="1:7" ht="15" thickBot="1" x14ac:dyDescent="0.4">
      <c r="A438" s="171">
        <f>ROWS($A$6:A438)</f>
        <v>433</v>
      </c>
      <c r="B438" s="168" t="s">
        <v>64</v>
      </c>
      <c r="C438" s="168" t="s">
        <v>1080</v>
      </c>
      <c r="D438" s="168" t="s">
        <v>1081</v>
      </c>
      <c r="E438" s="168" t="s">
        <v>1281</v>
      </c>
      <c r="F438" s="168" t="s">
        <v>37</v>
      </c>
      <c r="G438" s="168" t="s">
        <v>67</v>
      </c>
    </row>
    <row r="439" spans="1:7" ht="15" thickBot="1" x14ac:dyDescent="0.4">
      <c r="A439" s="171">
        <f>ROWS($A$6:A439)</f>
        <v>434</v>
      </c>
      <c r="B439" s="168" t="s">
        <v>64</v>
      </c>
      <c r="C439" s="168" t="s">
        <v>1082</v>
      </c>
      <c r="D439" s="168" t="s">
        <v>1083</v>
      </c>
      <c r="E439" s="168" t="s">
        <v>1281</v>
      </c>
      <c r="F439" s="168" t="s">
        <v>36</v>
      </c>
      <c r="G439" s="168" t="s">
        <v>67</v>
      </c>
    </row>
    <row r="440" spans="1:7" ht="15" thickBot="1" x14ac:dyDescent="0.4">
      <c r="A440" s="171">
        <f>ROWS($A$6:A440)</f>
        <v>435</v>
      </c>
      <c r="B440" s="168" t="s">
        <v>64</v>
      </c>
      <c r="C440" s="168" t="s">
        <v>1084</v>
      </c>
      <c r="D440" s="168" t="s">
        <v>1085</v>
      </c>
      <c r="E440" s="168" t="s">
        <v>1281</v>
      </c>
      <c r="F440" s="168" t="s">
        <v>37</v>
      </c>
      <c r="G440" s="168" t="s">
        <v>67</v>
      </c>
    </row>
    <row r="441" spans="1:7" ht="15" thickBot="1" x14ac:dyDescent="0.4">
      <c r="A441" s="171">
        <f>ROWS($A$6:A441)</f>
        <v>436</v>
      </c>
      <c r="B441" s="168" t="s">
        <v>64</v>
      </c>
      <c r="C441" s="168" t="s">
        <v>1086</v>
      </c>
      <c r="D441" s="168" t="s">
        <v>1087</v>
      </c>
      <c r="E441" s="168" t="s">
        <v>1281</v>
      </c>
      <c r="F441" s="168" t="s">
        <v>41</v>
      </c>
      <c r="G441" s="168" t="s">
        <v>68</v>
      </c>
    </row>
    <row r="442" spans="1:7" ht="15" thickBot="1" x14ac:dyDescent="0.4">
      <c r="A442" s="171">
        <f>ROWS($A$6:A442)</f>
        <v>437</v>
      </c>
      <c r="B442" s="168" t="s">
        <v>64</v>
      </c>
      <c r="C442" s="168" t="s">
        <v>673</v>
      </c>
      <c r="D442" s="168" t="s">
        <v>674</v>
      </c>
      <c r="E442" s="168" t="s">
        <v>1281</v>
      </c>
      <c r="F442" s="168" t="s">
        <v>40</v>
      </c>
      <c r="G442" s="168" t="s">
        <v>68</v>
      </c>
    </row>
    <row r="443" spans="1:7" ht="15" thickBot="1" x14ac:dyDescent="0.4">
      <c r="A443" s="171">
        <f>ROWS($A$6:A443)</f>
        <v>438</v>
      </c>
      <c r="B443" s="168" t="s">
        <v>64</v>
      </c>
      <c r="C443" s="168" t="s">
        <v>1088</v>
      </c>
      <c r="D443" s="168" t="s">
        <v>1089</v>
      </c>
      <c r="E443" s="168" t="s">
        <v>1281</v>
      </c>
      <c r="F443" s="168" t="s">
        <v>39</v>
      </c>
      <c r="G443" s="168" t="s">
        <v>68</v>
      </c>
    </row>
    <row r="444" spans="1:7" ht="15" thickBot="1" x14ac:dyDescent="0.4">
      <c r="A444" s="171">
        <f>ROWS($A$6:A444)</f>
        <v>439</v>
      </c>
      <c r="B444" s="168" t="s">
        <v>64</v>
      </c>
      <c r="C444" s="168" t="s">
        <v>1090</v>
      </c>
      <c r="D444" s="168" t="s">
        <v>1091</v>
      </c>
      <c r="E444" s="168" t="s">
        <v>1281</v>
      </c>
      <c r="F444" s="168" t="s">
        <v>37</v>
      </c>
      <c r="G444" s="168" t="s">
        <v>67</v>
      </c>
    </row>
    <row r="445" spans="1:7" ht="15" thickBot="1" x14ac:dyDescent="0.4">
      <c r="A445" s="171">
        <f>ROWS($A$6:A445)</f>
        <v>440</v>
      </c>
      <c r="B445" s="168" t="s">
        <v>64</v>
      </c>
      <c r="C445" s="168" t="s">
        <v>1092</v>
      </c>
      <c r="D445" s="168" t="s">
        <v>1093</v>
      </c>
      <c r="E445" s="168" t="s">
        <v>1281</v>
      </c>
      <c r="F445" s="168" t="s">
        <v>37</v>
      </c>
      <c r="G445" s="168" t="s">
        <v>67</v>
      </c>
    </row>
    <row r="446" spans="1:7" ht="15" thickBot="1" x14ac:dyDescent="0.4">
      <c r="A446" s="171">
        <f>ROWS($A$6:A446)</f>
        <v>441</v>
      </c>
      <c r="B446" s="168" t="s">
        <v>64</v>
      </c>
      <c r="C446" s="168" t="s">
        <v>1094</v>
      </c>
      <c r="D446" s="168" t="s">
        <v>1095</v>
      </c>
      <c r="E446" s="168" t="s">
        <v>1281</v>
      </c>
      <c r="F446" s="168" t="s">
        <v>39</v>
      </c>
      <c r="G446" s="168" t="s">
        <v>68</v>
      </c>
    </row>
    <row r="447" spans="1:7" ht="15" thickBot="1" x14ac:dyDescent="0.4">
      <c r="A447" s="171">
        <f>ROWS($A$6:A447)</f>
        <v>442</v>
      </c>
      <c r="B447" s="168" t="s">
        <v>64</v>
      </c>
      <c r="C447" s="168" t="s">
        <v>1096</v>
      </c>
      <c r="D447" s="168" t="s">
        <v>1097</v>
      </c>
      <c r="E447" s="168" t="s">
        <v>1281</v>
      </c>
      <c r="F447" s="168" t="s">
        <v>41</v>
      </c>
      <c r="G447" s="168" t="s">
        <v>68</v>
      </c>
    </row>
    <row r="448" spans="1:7" ht="15" thickBot="1" x14ac:dyDescent="0.4">
      <c r="A448" s="171">
        <f>ROWS($A$6:A448)</f>
        <v>443</v>
      </c>
      <c r="B448" s="168" t="s">
        <v>64</v>
      </c>
      <c r="C448" s="168" t="s">
        <v>1098</v>
      </c>
      <c r="D448" s="168" t="s">
        <v>1099</v>
      </c>
      <c r="E448" s="168" t="s">
        <v>1281</v>
      </c>
      <c r="F448" s="168" t="s">
        <v>36</v>
      </c>
      <c r="G448" s="168" t="s">
        <v>67</v>
      </c>
    </row>
    <row r="449" spans="1:7" ht="15" thickBot="1" x14ac:dyDescent="0.4">
      <c r="A449" s="171">
        <f>ROWS($A$6:A449)</f>
        <v>444</v>
      </c>
      <c r="B449" s="168" t="s">
        <v>64</v>
      </c>
      <c r="C449" s="168" t="s">
        <v>1100</v>
      </c>
      <c r="D449" s="168" t="s">
        <v>1101</v>
      </c>
      <c r="E449" s="168" t="s">
        <v>1281</v>
      </c>
      <c r="F449" s="168" t="s">
        <v>37</v>
      </c>
      <c r="G449" s="168" t="s">
        <v>67</v>
      </c>
    </row>
    <row r="450" spans="1:7" ht="15" thickBot="1" x14ac:dyDescent="0.4">
      <c r="A450" s="171">
        <f>ROWS($A$6:A450)</f>
        <v>445</v>
      </c>
      <c r="B450" s="168" t="s">
        <v>64</v>
      </c>
      <c r="C450" s="168" t="s">
        <v>1102</v>
      </c>
      <c r="D450" s="168" t="s">
        <v>1103</v>
      </c>
      <c r="E450" s="168" t="s">
        <v>1281</v>
      </c>
      <c r="F450" s="168" t="s">
        <v>39</v>
      </c>
      <c r="G450" s="168" t="s">
        <v>68</v>
      </c>
    </row>
    <row r="451" spans="1:7" ht="15" thickBot="1" x14ac:dyDescent="0.4">
      <c r="A451" s="171">
        <f>ROWS($A$6:A451)</f>
        <v>446</v>
      </c>
      <c r="B451" s="168" t="s">
        <v>64</v>
      </c>
      <c r="C451" s="168" t="s">
        <v>1104</v>
      </c>
      <c r="D451" s="168" t="s">
        <v>1105</v>
      </c>
      <c r="E451" s="168" t="s">
        <v>1281</v>
      </c>
      <c r="F451" s="168" t="s">
        <v>37</v>
      </c>
      <c r="G451" s="168" t="s">
        <v>67</v>
      </c>
    </row>
    <row r="452" spans="1:7" ht="15" thickBot="1" x14ac:dyDescent="0.4">
      <c r="A452" s="171">
        <f>ROWS($A$6:A452)</f>
        <v>447</v>
      </c>
      <c r="B452" s="168" t="s">
        <v>64</v>
      </c>
      <c r="C452" s="168" t="s">
        <v>1106</v>
      </c>
      <c r="D452" s="168" t="s">
        <v>1107</v>
      </c>
      <c r="E452" s="168" t="s">
        <v>1281</v>
      </c>
      <c r="F452" s="168" t="s">
        <v>37</v>
      </c>
      <c r="G452" s="168" t="s">
        <v>67</v>
      </c>
    </row>
    <row r="453" spans="1:7" ht="15" thickBot="1" x14ac:dyDescent="0.4">
      <c r="A453" s="171">
        <f>ROWS($A$6:A453)</f>
        <v>448</v>
      </c>
      <c r="B453" s="168" t="s">
        <v>64</v>
      </c>
      <c r="C453" s="168" t="s">
        <v>615</v>
      </c>
      <c r="D453" s="168" t="s">
        <v>616</v>
      </c>
      <c r="E453" s="168" t="s">
        <v>1281</v>
      </c>
      <c r="F453" s="168" t="s">
        <v>41</v>
      </c>
      <c r="G453" s="168" t="s">
        <v>68</v>
      </c>
    </row>
    <row r="454" spans="1:7" ht="15" thickBot="1" x14ac:dyDescent="0.4">
      <c r="A454" s="171">
        <f>ROWS($A$6:A454)</f>
        <v>449</v>
      </c>
      <c r="B454" s="168" t="s">
        <v>64</v>
      </c>
      <c r="C454" s="168" t="s">
        <v>1108</v>
      </c>
      <c r="D454" s="168" t="s">
        <v>1109</v>
      </c>
      <c r="E454" s="168" t="s">
        <v>1281</v>
      </c>
      <c r="F454" s="168" t="s">
        <v>41</v>
      </c>
      <c r="G454" s="168" t="s">
        <v>68</v>
      </c>
    </row>
    <row r="455" spans="1:7" ht="15" thickBot="1" x14ac:dyDescent="0.4">
      <c r="A455" s="171">
        <f>ROWS($A$6:A455)</f>
        <v>450</v>
      </c>
      <c r="B455" s="168" t="s">
        <v>64</v>
      </c>
      <c r="C455" s="168" t="s">
        <v>718</v>
      </c>
      <c r="D455" s="168" t="s">
        <v>1110</v>
      </c>
      <c r="E455" s="168" t="s">
        <v>1281</v>
      </c>
      <c r="F455" s="168" t="s">
        <v>36</v>
      </c>
      <c r="G455" s="168" t="s">
        <v>67</v>
      </c>
    </row>
    <row r="456" spans="1:7" ht="15" thickBot="1" x14ac:dyDescent="0.4">
      <c r="A456" s="171">
        <f>ROWS($A$6:A456)</f>
        <v>451</v>
      </c>
      <c r="B456" s="168" t="s">
        <v>64</v>
      </c>
      <c r="C456" s="168" t="s">
        <v>718</v>
      </c>
      <c r="D456" s="168" t="s">
        <v>1111</v>
      </c>
      <c r="E456" s="168" t="s">
        <v>1281</v>
      </c>
      <c r="F456" s="168" t="s">
        <v>37</v>
      </c>
      <c r="G456" s="168" t="s">
        <v>67</v>
      </c>
    </row>
    <row r="457" spans="1:7" ht="15" thickBot="1" x14ac:dyDescent="0.4">
      <c r="A457" s="171">
        <f>ROWS($A$6:A457)</f>
        <v>452</v>
      </c>
      <c r="B457" s="168" t="s">
        <v>64</v>
      </c>
      <c r="C457" s="168" t="s">
        <v>718</v>
      </c>
      <c r="D457" s="168" t="s">
        <v>1112</v>
      </c>
      <c r="E457" s="168" t="s">
        <v>1281</v>
      </c>
      <c r="F457" s="168" t="s">
        <v>37</v>
      </c>
      <c r="G457" s="168" t="s">
        <v>67</v>
      </c>
    </row>
    <row r="458" spans="1:7" ht="15" thickBot="1" x14ac:dyDescent="0.4">
      <c r="A458" s="171">
        <f>ROWS($A$6:A458)</f>
        <v>453</v>
      </c>
      <c r="B458" s="168" t="s">
        <v>64</v>
      </c>
      <c r="C458" s="168" t="s">
        <v>1113</v>
      </c>
      <c r="D458" s="168" t="s">
        <v>1114</v>
      </c>
      <c r="E458" s="168" t="s">
        <v>1281</v>
      </c>
      <c r="F458" s="168" t="s">
        <v>41</v>
      </c>
      <c r="G458" s="168" t="s">
        <v>68</v>
      </c>
    </row>
    <row r="459" spans="1:7" ht="15" thickBot="1" x14ac:dyDescent="0.4">
      <c r="A459" s="171">
        <f>ROWS($A$6:A459)</f>
        <v>454</v>
      </c>
      <c r="B459" s="168" t="s">
        <v>64</v>
      </c>
      <c r="C459" s="168" t="s">
        <v>653</v>
      </c>
      <c r="D459" s="168" t="s">
        <v>1243</v>
      </c>
      <c r="E459" s="168" t="s">
        <v>1281</v>
      </c>
      <c r="F459" s="168" t="s">
        <v>41</v>
      </c>
      <c r="G459" s="168" t="s">
        <v>68</v>
      </c>
    </row>
    <row r="460" spans="1:7" ht="15" thickBot="1" x14ac:dyDescent="0.4">
      <c r="A460" s="171">
        <f>ROWS($A$6:A460)</f>
        <v>455</v>
      </c>
      <c r="B460" s="168" t="s">
        <v>64</v>
      </c>
      <c r="C460" s="168" t="s">
        <v>1115</v>
      </c>
      <c r="D460" s="168" t="s">
        <v>1116</v>
      </c>
      <c r="E460" s="168" t="s">
        <v>1281</v>
      </c>
      <c r="F460" s="168" t="s">
        <v>37</v>
      </c>
      <c r="G460" s="168" t="s">
        <v>67</v>
      </c>
    </row>
    <row r="461" spans="1:7" ht="15" thickBot="1" x14ac:dyDescent="0.4">
      <c r="A461" s="171">
        <f>ROWS($A$6:A461)</f>
        <v>456</v>
      </c>
      <c r="B461" s="168" t="s">
        <v>64</v>
      </c>
      <c r="C461" s="168" t="s">
        <v>1117</v>
      </c>
      <c r="D461" s="168" t="s">
        <v>1118</v>
      </c>
      <c r="E461" s="168" t="s">
        <v>1281</v>
      </c>
      <c r="F461" s="168" t="s">
        <v>37</v>
      </c>
      <c r="G461" s="168" t="s">
        <v>67</v>
      </c>
    </row>
    <row r="462" spans="1:7" ht="15" thickBot="1" x14ac:dyDescent="0.4">
      <c r="A462" s="171">
        <f>ROWS($A$6:A462)</f>
        <v>457</v>
      </c>
      <c r="B462" s="168" t="s">
        <v>64</v>
      </c>
      <c r="C462" s="168" t="s">
        <v>1119</v>
      </c>
      <c r="D462" s="168" t="s">
        <v>1120</v>
      </c>
      <c r="E462" s="168" t="s">
        <v>1281</v>
      </c>
      <c r="F462" s="168" t="s">
        <v>39</v>
      </c>
      <c r="G462" s="168" t="s">
        <v>68</v>
      </c>
    </row>
    <row r="463" spans="1:7" ht="15" thickBot="1" x14ac:dyDescent="0.4">
      <c r="A463" s="171">
        <f>ROWS($A$6:A463)</f>
        <v>458</v>
      </c>
      <c r="B463" s="168" t="s">
        <v>64</v>
      </c>
      <c r="C463" s="168" t="s">
        <v>718</v>
      </c>
      <c r="D463" s="168" t="s">
        <v>1121</v>
      </c>
      <c r="E463" s="168" t="s">
        <v>1281</v>
      </c>
      <c r="F463" s="168" t="s">
        <v>240</v>
      </c>
      <c r="G463" s="168" t="s">
        <v>240</v>
      </c>
    </row>
    <row r="464" spans="1:7" ht="15" thickBot="1" x14ac:dyDescent="0.4">
      <c r="A464" s="171">
        <f>ROWS($A$6:A464)</f>
        <v>459</v>
      </c>
      <c r="B464" s="168" t="s">
        <v>64</v>
      </c>
      <c r="C464" s="168" t="s">
        <v>1122</v>
      </c>
      <c r="D464" s="168" t="s">
        <v>1123</v>
      </c>
      <c r="E464" s="168" t="s">
        <v>1281</v>
      </c>
      <c r="F464" s="168" t="s">
        <v>39</v>
      </c>
      <c r="G464" s="168" t="s">
        <v>68</v>
      </c>
    </row>
    <row r="465" spans="1:7" ht="15" thickBot="1" x14ac:dyDescent="0.4">
      <c r="A465" s="171">
        <f>ROWS($A$6:A465)</f>
        <v>460</v>
      </c>
      <c r="B465" s="168" t="s">
        <v>64</v>
      </c>
      <c r="C465" s="168" t="s">
        <v>1124</v>
      </c>
      <c r="D465" s="168" t="s">
        <v>870</v>
      </c>
      <c r="E465" s="168" t="s">
        <v>1281</v>
      </c>
      <c r="F465" s="168" t="s">
        <v>37</v>
      </c>
      <c r="G465" s="168" t="s">
        <v>67</v>
      </c>
    </row>
    <row r="466" spans="1:7" ht="15" thickBot="1" x14ac:dyDescent="0.4">
      <c r="A466" s="171">
        <f>ROWS($A$6:A466)</f>
        <v>461</v>
      </c>
      <c r="B466" s="168" t="s">
        <v>64</v>
      </c>
      <c r="C466" s="168" t="s">
        <v>1125</v>
      </c>
      <c r="D466" s="168" t="s">
        <v>1126</v>
      </c>
      <c r="E466" s="168" t="s">
        <v>1281</v>
      </c>
      <c r="F466" s="168" t="s">
        <v>39</v>
      </c>
      <c r="G466" s="168" t="s">
        <v>68</v>
      </c>
    </row>
    <row r="467" spans="1:7" ht="15" thickBot="1" x14ac:dyDescent="0.4">
      <c r="A467" s="171">
        <f>ROWS($A$6:A467)</f>
        <v>462</v>
      </c>
      <c r="B467" s="168" t="s">
        <v>64</v>
      </c>
      <c r="C467" s="168" t="s">
        <v>718</v>
      </c>
      <c r="D467" s="168" t="s">
        <v>1127</v>
      </c>
      <c r="E467" s="168" t="s">
        <v>1281</v>
      </c>
      <c r="F467" s="168" t="s">
        <v>41</v>
      </c>
      <c r="G467" s="168" t="s">
        <v>68</v>
      </c>
    </row>
    <row r="468" spans="1:7" ht="15" thickBot="1" x14ac:dyDescent="0.4">
      <c r="A468" s="171">
        <f>ROWS($A$6:A468)</f>
        <v>463</v>
      </c>
      <c r="B468" s="168" t="s">
        <v>64</v>
      </c>
      <c r="C468" s="168" t="s">
        <v>645</v>
      </c>
      <c r="D468" s="168" t="s">
        <v>646</v>
      </c>
      <c r="E468" s="168" t="s">
        <v>1281</v>
      </c>
      <c r="F468" s="168" t="s">
        <v>41</v>
      </c>
      <c r="G468" s="168" t="s">
        <v>68</v>
      </c>
    </row>
    <row r="469" spans="1:7" ht="15" thickBot="1" x14ac:dyDescent="0.4">
      <c r="A469" s="171">
        <f>ROWS($A$6:A469)</f>
        <v>464</v>
      </c>
      <c r="B469" s="168" t="s">
        <v>64</v>
      </c>
      <c r="C469" s="168" t="s">
        <v>746</v>
      </c>
      <c r="D469" s="168" t="s">
        <v>746</v>
      </c>
      <c r="E469" s="168" t="s">
        <v>1281</v>
      </c>
      <c r="F469" s="168" t="s">
        <v>39</v>
      </c>
      <c r="G469" s="168" t="s">
        <v>68</v>
      </c>
    </row>
    <row r="470" spans="1:7" ht="15" thickBot="1" x14ac:dyDescent="0.4">
      <c r="A470" s="171">
        <f>ROWS($A$6:A470)</f>
        <v>465</v>
      </c>
      <c r="B470" s="168" t="s">
        <v>64</v>
      </c>
      <c r="C470" s="168" t="s">
        <v>1128</v>
      </c>
      <c r="D470" s="168" t="s">
        <v>1109</v>
      </c>
      <c r="E470" s="168" t="s">
        <v>1281</v>
      </c>
      <c r="F470" s="168" t="s">
        <v>41</v>
      </c>
      <c r="G470" s="168" t="s">
        <v>68</v>
      </c>
    </row>
    <row r="471" spans="1:7" ht="15" thickBot="1" x14ac:dyDescent="0.4">
      <c r="A471" s="171">
        <f>ROWS($A$6:A471)</f>
        <v>466</v>
      </c>
      <c r="B471" s="168" t="s">
        <v>64</v>
      </c>
      <c r="C471" s="168" t="s">
        <v>1129</v>
      </c>
      <c r="D471" s="168" t="s">
        <v>1130</v>
      </c>
      <c r="E471" s="168" t="s">
        <v>1281</v>
      </c>
      <c r="F471" s="168" t="s">
        <v>37</v>
      </c>
      <c r="G471" s="168" t="s">
        <v>67</v>
      </c>
    </row>
    <row r="472" spans="1:7" ht="15" thickBot="1" x14ac:dyDescent="0.4">
      <c r="A472" s="171">
        <f>ROWS($A$6:A472)</f>
        <v>467</v>
      </c>
      <c r="B472" s="168" t="s">
        <v>64</v>
      </c>
      <c r="C472" s="168" t="s">
        <v>745</v>
      </c>
      <c r="D472" s="168" t="s">
        <v>746</v>
      </c>
      <c r="E472" s="168" t="s">
        <v>1281</v>
      </c>
      <c r="F472" s="168" t="s">
        <v>39</v>
      </c>
      <c r="G472" s="168" t="s">
        <v>68</v>
      </c>
    </row>
    <row r="473" spans="1:7" ht="15" thickBot="1" x14ac:dyDescent="0.4">
      <c r="A473" s="171">
        <f>ROWS($A$6:A473)</f>
        <v>468</v>
      </c>
      <c r="B473" s="168" t="s">
        <v>64</v>
      </c>
      <c r="C473" s="168" t="s">
        <v>1131</v>
      </c>
      <c r="D473" s="168" t="s">
        <v>1132</v>
      </c>
      <c r="E473" s="168" t="s">
        <v>1281</v>
      </c>
      <c r="F473" s="168" t="s">
        <v>39</v>
      </c>
      <c r="G473" s="168" t="s">
        <v>68</v>
      </c>
    </row>
    <row r="474" spans="1:7" ht="15" thickBot="1" x14ac:dyDescent="0.4">
      <c r="A474" s="171">
        <f>ROWS($A$6:A474)</f>
        <v>469</v>
      </c>
      <c r="B474" s="168" t="s">
        <v>64</v>
      </c>
      <c r="C474" s="168" t="s">
        <v>718</v>
      </c>
      <c r="D474" s="168" t="s">
        <v>900</v>
      </c>
      <c r="E474" s="168" t="s">
        <v>1281</v>
      </c>
      <c r="F474" s="168" t="s">
        <v>37</v>
      </c>
      <c r="G474" s="168" t="s">
        <v>67</v>
      </c>
    </row>
    <row r="475" spans="1:7" ht="15" thickBot="1" x14ac:dyDescent="0.4">
      <c r="A475" s="171">
        <f>ROWS($A$6:A475)</f>
        <v>470</v>
      </c>
      <c r="B475" s="168" t="s">
        <v>64</v>
      </c>
      <c r="C475" s="168" t="s">
        <v>718</v>
      </c>
      <c r="D475" s="168" t="s">
        <v>1133</v>
      </c>
      <c r="E475" s="168" t="s">
        <v>1281</v>
      </c>
      <c r="F475" s="168" t="s">
        <v>37</v>
      </c>
      <c r="G475" s="168" t="s">
        <v>67</v>
      </c>
    </row>
    <row r="476" spans="1:7" ht="15" thickBot="1" x14ac:dyDescent="0.4">
      <c r="A476" s="171">
        <f>ROWS($A$6:A476)</f>
        <v>471</v>
      </c>
      <c r="B476" s="168" t="s">
        <v>64</v>
      </c>
      <c r="C476" s="168" t="s">
        <v>1134</v>
      </c>
      <c r="D476" s="168" t="s">
        <v>1135</v>
      </c>
      <c r="E476" s="168" t="s">
        <v>1281</v>
      </c>
      <c r="F476" s="168" t="s">
        <v>39</v>
      </c>
      <c r="G476" s="168" t="s">
        <v>68</v>
      </c>
    </row>
    <row r="477" spans="1:7" ht="15" thickBot="1" x14ac:dyDescent="0.4">
      <c r="A477" s="171">
        <f>ROWS($A$6:A477)</f>
        <v>472</v>
      </c>
      <c r="B477" s="168" t="s">
        <v>64</v>
      </c>
      <c r="C477" s="168" t="s">
        <v>718</v>
      </c>
      <c r="D477" s="168" t="s">
        <v>1136</v>
      </c>
      <c r="E477" s="168" t="s">
        <v>1281</v>
      </c>
      <c r="F477" s="168" t="s">
        <v>36</v>
      </c>
      <c r="G477" s="168" t="s">
        <v>67</v>
      </c>
    </row>
    <row r="478" spans="1:7" ht="15" thickBot="1" x14ac:dyDescent="0.4">
      <c r="A478" s="171">
        <f>ROWS($A$6:A478)</f>
        <v>473</v>
      </c>
      <c r="B478" s="168" t="s">
        <v>64</v>
      </c>
      <c r="C478" s="168" t="s">
        <v>718</v>
      </c>
      <c r="D478" s="168" t="s">
        <v>1137</v>
      </c>
      <c r="E478" s="168" t="s">
        <v>1281</v>
      </c>
      <c r="F478" s="168" t="s">
        <v>36</v>
      </c>
      <c r="G478" s="168" t="s">
        <v>67</v>
      </c>
    </row>
    <row r="479" spans="1:7" ht="15" thickBot="1" x14ac:dyDescent="0.4">
      <c r="A479" s="171">
        <f>ROWS($A$6:A479)</f>
        <v>474</v>
      </c>
      <c r="B479" s="168" t="s">
        <v>64</v>
      </c>
      <c r="C479" s="168" t="s">
        <v>718</v>
      </c>
      <c r="D479" s="168" t="s">
        <v>1022</v>
      </c>
      <c r="E479" s="168" t="s">
        <v>1281</v>
      </c>
      <c r="F479" s="168" t="s">
        <v>37</v>
      </c>
      <c r="G479" s="168" t="s">
        <v>67</v>
      </c>
    </row>
    <row r="480" spans="1:7" ht="15" thickBot="1" x14ac:dyDescent="0.4">
      <c r="A480" s="171">
        <f>ROWS($A$6:A480)</f>
        <v>475</v>
      </c>
      <c r="B480" s="168" t="s">
        <v>64</v>
      </c>
      <c r="C480" s="168" t="s">
        <v>1138</v>
      </c>
      <c r="D480" s="168" t="s">
        <v>1139</v>
      </c>
      <c r="E480" s="168" t="s">
        <v>1281</v>
      </c>
      <c r="F480" s="168" t="s">
        <v>240</v>
      </c>
      <c r="G480" s="168" t="s">
        <v>240</v>
      </c>
    </row>
    <row r="481" spans="1:7" ht="15" thickBot="1" x14ac:dyDescent="0.4">
      <c r="A481" s="171">
        <f>ROWS($A$6:A481)</f>
        <v>476</v>
      </c>
      <c r="B481" s="168" t="s">
        <v>64</v>
      </c>
      <c r="C481" s="168" t="s">
        <v>1140</v>
      </c>
      <c r="D481" s="168" t="s">
        <v>1141</v>
      </c>
      <c r="E481" s="168" t="s">
        <v>1281</v>
      </c>
      <c r="F481" s="168" t="s">
        <v>36</v>
      </c>
      <c r="G481" s="168" t="s">
        <v>67</v>
      </c>
    </row>
    <row r="482" spans="1:7" ht="15" thickBot="1" x14ac:dyDescent="0.4">
      <c r="A482" s="171">
        <f>ROWS($A$6:A482)</f>
        <v>477</v>
      </c>
      <c r="B482" s="168" t="s">
        <v>64</v>
      </c>
      <c r="C482" s="168" t="s">
        <v>1142</v>
      </c>
      <c r="D482" s="168" t="s">
        <v>1143</v>
      </c>
      <c r="E482" s="168" t="s">
        <v>1281</v>
      </c>
      <c r="F482" s="168" t="s">
        <v>39</v>
      </c>
      <c r="G482" s="168" t="s">
        <v>68</v>
      </c>
    </row>
    <row r="483" spans="1:7" ht="15" thickBot="1" x14ac:dyDescent="0.4">
      <c r="A483" s="171">
        <f>ROWS($A$6:A483)</f>
        <v>478</v>
      </c>
      <c r="B483" s="168" t="s">
        <v>64</v>
      </c>
      <c r="C483" s="168" t="s">
        <v>1144</v>
      </c>
      <c r="D483" s="168" t="s">
        <v>1145</v>
      </c>
      <c r="E483" s="168" t="s">
        <v>1281</v>
      </c>
      <c r="F483" s="168" t="s">
        <v>240</v>
      </c>
      <c r="G483" s="168" t="s">
        <v>240</v>
      </c>
    </row>
    <row r="484" spans="1:7" ht="15" thickBot="1" x14ac:dyDescent="0.4">
      <c r="A484" s="171">
        <f>ROWS($A$6:A484)</f>
        <v>479</v>
      </c>
      <c r="B484" s="168" t="s">
        <v>64</v>
      </c>
      <c r="C484" s="168" t="s">
        <v>1146</v>
      </c>
      <c r="D484" s="168" t="s">
        <v>239</v>
      </c>
      <c r="E484" s="168" t="s">
        <v>1281</v>
      </c>
      <c r="F484" s="168" t="s">
        <v>36</v>
      </c>
      <c r="G484" s="168" t="s">
        <v>67</v>
      </c>
    </row>
    <row r="485" spans="1:7" ht="15" thickBot="1" x14ac:dyDescent="0.4">
      <c r="A485" s="171">
        <f>ROWS($A$6:A485)</f>
        <v>480</v>
      </c>
      <c r="B485" s="168" t="s">
        <v>64</v>
      </c>
      <c r="C485" s="168" t="s">
        <v>718</v>
      </c>
      <c r="D485" s="168" t="s">
        <v>144</v>
      </c>
      <c r="E485" s="168" t="s">
        <v>1282</v>
      </c>
      <c r="F485" s="168" t="s">
        <v>36</v>
      </c>
      <c r="G485" s="168" t="s">
        <v>67</v>
      </c>
    </row>
    <row r="486" spans="1:7" ht="15" thickBot="1" x14ac:dyDescent="0.4">
      <c r="A486" s="171">
        <f>ROWS($A$6:A486)</f>
        <v>481</v>
      </c>
      <c r="B486" s="168" t="s">
        <v>64</v>
      </c>
      <c r="C486" s="168" t="s">
        <v>1147</v>
      </c>
      <c r="D486" s="168" t="s">
        <v>1148</v>
      </c>
      <c r="E486" s="168" t="s">
        <v>1281</v>
      </c>
      <c r="F486" s="168" t="s">
        <v>36</v>
      </c>
      <c r="G486" s="168" t="s">
        <v>67</v>
      </c>
    </row>
    <row r="487" spans="1:7" ht="15" thickBot="1" x14ac:dyDescent="0.4">
      <c r="A487" s="171">
        <f>ROWS($A$6:A487)</f>
        <v>482</v>
      </c>
      <c r="B487" s="168" t="s">
        <v>64</v>
      </c>
      <c r="C487" s="168" t="s">
        <v>1149</v>
      </c>
      <c r="D487" s="168" t="s">
        <v>1150</v>
      </c>
      <c r="E487" s="168" t="s">
        <v>1281</v>
      </c>
      <c r="F487" s="168" t="s">
        <v>41</v>
      </c>
      <c r="G487" s="168" t="s">
        <v>68</v>
      </c>
    </row>
    <row r="488" spans="1:7" ht="15" thickBot="1" x14ac:dyDescent="0.4">
      <c r="A488" s="171">
        <f>ROWS($A$6:A488)</f>
        <v>483</v>
      </c>
      <c r="B488" s="168" t="s">
        <v>64</v>
      </c>
      <c r="C488" s="168" t="s">
        <v>1151</v>
      </c>
      <c r="D488" s="168" t="s">
        <v>1152</v>
      </c>
      <c r="E488" s="168" t="s">
        <v>1281</v>
      </c>
      <c r="F488" s="168" t="s">
        <v>37</v>
      </c>
      <c r="G488" s="168" t="s">
        <v>67</v>
      </c>
    </row>
    <row r="489" spans="1:7" ht="15" thickBot="1" x14ac:dyDescent="0.4">
      <c r="A489" s="171">
        <f>ROWS($A$6:A489)</f>
        <v>484</v>
      </c>
      <c r="B489" s="168" t="s">
        <v>64</v>
      </c>
      <c r="C489" s="168" t="s">
        <v>786</v>
      </c>
      <c r="D489" s="168" t="s">
        <v>787</v>
      </c>
      <c r="E489" s="168" t="s">
        <v>1281</v>
      </c>
      <c r="F489" s="168" t="s">
        <v>40</v>
      </c>
      <c r="G489" s="168" t="s">
        <v>68</v>
      </c>
    </row>
    <row r="490" spans="1:7" ht="15" thickBot="1" x14ac:dyDescent="0.4">
      <c r="A490" s="171">
        <f>ROWS($A$6:A490)</f>
        <v>485</v>
      </c>
      <c r="B490" s="168" t="s">
        <v>64</v>
      </c>
      <c r="C490" s="168" t="s">
        <v>1153</v>
      </c>
      <c r="D490" s="168" t="s">
        <v>1049</v>
      </c>
      <c r="E490" s="168" t="s">
        <v>1281</v>
      </c>
      <c r="F490" s="168" t="s">
        <v>36</v>
      </c>
      <c r="G490" s="168" t="s">
        <v>67</v>
      </c>
    </row>
    <row r="491" spans="1:7" ht="15" thickBot="1" x14ac:dyDescent="0.4">
      <c r="A491" s="171">
        <f>ROWS($A$6:A491)</f>
        <v>486</v>
      </c>
      <c r="B491" s="168" t="s">
        <v>64</v>
      </c>
      <c r="C491" s="168" t="s">
        <v>1154</v>
      </c>
      <c r="D491" s="168" t="s">
        <v>1155</v>
      </c>
      <c r="E491" s="168" t="s">
        <v>1281</v>
      </c>
      <c r="F491" s="168" t="s">
        <v>39</v>
      </c>
      <c r="G491" s="168" t="s">
        <v>68</v>
      </c>
    </row>
    <row r="492" spans="1:7" ht="15" thickBot="1" x14ac:dyDescent="0.4">
      <c r="A492" s="171">
        <f>ROWS($A$6:A492)</f>
        <v>487</v>
      </c>
      <c r="B492" s="168" t="s">
        <v>64</v>
      </c>
      <c r="C492" s="168" t="s">
        <v>1156</v>
      </c>
      <c r="D492" s="168" t="s">
        <v>1157</v>
      </c>
      <c r="E492" s="168" t="s">
        <v>1281</v>
      </c>
      <c r="F492" s="168" t="s">
        <v>39</v>
      </c>
      <c r="G492" s="168" t="s">
        <v>68</v>
      </c>
    </row>
    <row r="493" spans="1:7" ht="15" thickBot="1" x14ac:dyDescent="0.4">
      <c r="A493" s="171">
        <f>ROWS($A$6:A493)</f>
        <v>488</v>
      </c>
      <c r="B493" s="168" t="s">
        <v>64</v>
      </c>
      <c r="C493" s="168" t="s">
        <v>1158</v>
      </c>
      <c r="D493" s="168" t="s">
        <v>1159</v>
      </c>
      <c r="E493" s="168" t="s">
        <v>1281</v>
      </c>
      <c r="F493" s="168" t="s">
        <v>37</v>
      </c>
      <c r="G493" s="168" t="s">
        <v>67</v>
      </c>
    </row>
    <row r="494" spans="1:7" ht="15" thickBot="1" x14ac:dyDescent="0.4">
      <c r="A494" s="171">
        <f>ROWS($A$6:A494)</f>
        <v>489</v>
      </c>
      <c r="B494" s="168" t="s">
        <v>64</v>
      </c>
      <c r="C494" s="168" t="s">
        <v>1160</v>
      </c>
      <c r="D494" s="168" t="s">
        <v>1161</v>
      </c>
      <c r="E494" s="168" t="s">
        <v>1281</v>
      </c>
      <c r="F494" s="168" t="s">
        <v>36</v>
      </c>
      <c r="G494" s="168" t="s">
        <v>67</v>
      </c>
    </row>
    <row r="495" spans="1:7" ht="15" thickBot="1" x14ac:dyDescent="0.4">
      <c r="A495" s="171">
        <f>ROWS($A$6:A495)</f>
        <v>490</v>
      </c>
      <c r="B495" s="168" t="s">
        <v>64</v>
      </c>
      <c r="C495" s="168" t="s">
        <v>1162</v>
      </c>
      <c r="D495" s="168" t="s">
        <v>1163</v>
      </c>
      <c r="E495" s="168" t="s">
        <v>1281</v>
      </c>
      <c r="F495" s="168" t="s">
        <v>36</v>
      </c>
      <c r="G495" s="168" t="s">
        <v>67</v>
      </c>
    </row>
    <row r="496" spans="1:7" ht="15" thickBot="1" x14ac:dyDescent="0.4">
      <c r="A496" s="171">
        <f>ROWS($A$6:A496)</f>
        <v>491</v>
      </c>
      <c r="B496" s="168" t="s">
        <v>64</v>
      </c>
      <c r="C496" s="168" t="s">
        <v>1164</v>
      </c>
      <c r="D496" s="168" t="s">
        <v>1165</v>
      </c>
      <c r="E496" s="168" t="s">
        <v>1281</v>
      </c>
      <c r="F496" s="168" t="s">
        <v>41</v>
      </c>
      <c r="G496" s="168" t="s">
        <v>68</v>
      </c>
    </row>
    <row r="497" spans="1:7" ht="15" thickBot="1" x14ac:dyDescent="0.4">
      <c r="A497" s="171">
        <f>ROWS($A$6:A497)</f>
        <v>492</v>
      </c>
      <c r="B497" s="168" t="s">
        <v>64</v>
      </c>
      <c r="C497" s="168" t="s">
        <v>1166</v>
      </c>
      <c r="D497" s="168" t="s">
        <v>1167</v>
      </c>
      <c r="E497" s="168" t="s">
        <v>1281</v>
      </c>
      <c r="F497" s="168" t="s">
        <v>39</v>
      </c>
      <c r="G497" s="168" t="s">
        <v>68</v>
      </c>
    </row>
    <row r="498" spans="1:7" ht="15" thickBot="1" x14ac:dyDescent="0.4">
      <c r="A498" s="171">
        <f>ROWS($A$6:A498)</f>
        <v>493</v>
      </c>
      <c r="B498" s="168" t="s">
        <v>64</v>
      </c>
      <c r="C498" s="168" t="s">
        <v>1168</v>
      </c>
      <c r="D498" s="168" t="s">
        <v>1169</v>
      </c>
      <c r="E498" s="168" t="s">
        <v>1281</v>
      </c>
      <c r="F498" s="168" t="s">
        <v>36</v>
      </c>
      <c r="G498" s="168" t="s">
        <v>67</v>
      </c>
    </row>
    <row r="499" spans="1:7" ht="15" thickBot="1" x14ac:dyDescent="0.4">
      <c r="A499" s="171">
        <f>ROWS($A$6:A499)</f>
        <v>494</v>
      </c>
      <c r="B499" s="168" t="s">
        <v>64</v>
      </c>
      <c r="C499" s="168" t="s">
        <v>1170</v>
      </c>
      <c r="D499" s="168" t="s">
        <v>1171</v>
      </c>
      <c r="E499" s="168" t="s">
        <v>1281</v>
      </c>
      <c r="F499" s="168" t="s">
        <v>37</v>
      </c>
      <c r="G499" s="168" t="s">
        <v>67</v>
      </c>
    </row>
    <row r="500" spans="1:7" ht="15" thickBot="1" x14ac:dyDescent="0.4">
      <c r="A500" s="171">
        <f>ROWS($A$6:A500)</f>
        <v>495</v>
      </c>
      <c r="B500" s="168" t="s">
        <v>64</v>
      </c>
      <c r="C500" s="168" t="s">
        <v>718</v>
      </c>
      <c r="D500" s="168" t="s">
        <v>1085</v>
      </c>
      <c r="E500" s="168" t="s">
        <v>1281</v>
      </c>
      <c r="F500" s="168" t="s">
        <v>37</v>
      </c>
      <c r="G500" s="168" t="s">
        <v>67</v>
      </c>
    </row>
    <row r="501" spans="1:7" ht="15" thickBot="1" x14ac:dyDescent="0.4">
      <c r="A501" s="171">
        <f>ROWS($A$6:A501)</f>
        <v>496</v>
      </c>
      <c r="B501" s="168" t="s">
        <v>64</v>
      </c>
      <c r="C501" s="168" t="s">
        <v>1172</v>
      </c>
      <c r="D501" s="168" t="s">
        <v>1173</v>
      </c>
      <c r="E501" s="168" t="s">
        <v>1281</v>
      </c>
      <c r="F501" s="168" t="s">
        <v>37</v>
      </c>
      <c r="G501" s="168" t="s">
        <v>67</v>
      </c>
    </row>
    <row r="502" spans="1:7" ht="15" thickBot="1" x14ac:dyDescent="0.4">
      <c r="A502" s="171">
        <f>ROWS($A$6:A502)</f>
        <v>497</v>
      </c>
      <c r="B502" s="168" t="s">
        <v>64</v>
      </c>
      <c r="C502" s="168" t="s">
        <v>1174</v>
      </c>
      <c r="D502" s="168" t="s">
        <v>1175</v>
      </c>
      <c r="E502" s="168" t="s">
        <v>1281</v>
      </c>
      <c r="F502" s="168" t="s">
        <v>36</v>
      </c>
      <c r="G502" s="168" t="s">
        <v>67</v>
      </c>
    </row>
    <row r="503" spans="1:7" ht="15" thickBot="1" x14ac:dyDescent="0.4">
      <c r="A503" s="171">
        <f>ROWS($A$6:A503)</f>
        <v>498</v>
      </c>
      <c r="B503" s="168" t="s">
        <v>64</v>
      </c>
      <c r="C503" s="168" t="s">
        <v>1176</v>
      </c>
      <c r="D503" s="168" t="s">
        <v>1177</v>
      </c>
      <c r="E503" s="168" t="s">
        <v>1281</v>
      </c>
      <c r="F503" s="168" t="s">
        <v>39</v>
      </c>
      <c r="G503" s="168" t="s">
        <v>68</v>
      </c>
    </row>
    <row r="504" spans="1:7" ht="15" thickBot="1" x14ac:dyDescent="0.4">
      <c r="A504" s="171">
        <f>ROWS($A$6:A504)</f>
        <v>499</v>
      </c>
      <c r="B504" s="168" t="s">
        <v>64</v>
      </c>
      <c r="C504" s="168" t="s">
        <v>1178</v>
      </c>
      <c r="D504" s="168" t="s">
        <v>1179</v>
      </c>
      <c r="E504" s="168" t="s">
        <v>1281</v>
      </c>
      <c r="F504" s="168" t="s">
        <v>36</v>
      </c>
      <c r="G504" s="168" t="s">
        <v>67</v>
      </c>
    </row>
    <row r="505" spans="1:7" ht="15" thickBot="1" x14ac:dyDescent="0.4">
      <c r="A505" s="171">
        <f>ROWS($A$6:A505)</f>
        <v>500</v>
      </c>
      <c r="B505" s="168" t="s">
        <v>64</v>
      </c>
      <c r="C505" s="168" t="s">
        <v>1180</v>
      </c>
      <c r="D505" s="168" t="s">
        <v>1181</v>
      </c>
      <c r="E505" s="168" t="s">
        <v>1281</v>
      </c>
      <c r="F505" s="168" t="s">
        <v>37</v>
      </c>
      <c r="G505" s="168" t="s">
        <v>67</v>
      </c>
    </row>
    <row r="506" spans="1:7" ht="15" thickBot="1" x14ac:dyDescent="0.4">
      <c r="A506" s="171">
        <f>ROWS($A$6:A506)</f>
        <v>501</v>
      </c>
      <c r="B506" s="168" t="s">
        <v>64</v>
      </c>
      <c r="C506" s="168" t="s">
        <v>1182</v>
      </c>
      <c r="D506" s="168" t="s">
        <v>1179</v>
      </c>
      <c r="E506" s="168" t="s">
        <v>1281</v>
      </c>
      <c r="F506" s="168" t="s">
        <v>36</v>
      </c>
      <c r="G506" s="168" t="s">
        <v>67</v>
      </c>
    </row>
    <row r="507" spans="1:7" ht="15" thickBot="1" x14ac:dyDescent="0.4">
      <c r="A507" s="171">
        <f>ROWS($A$6:A507)</f>
        <v>502</v>
      </c>
      <c r="B507" s="168" t="s">
        <v>64</v>
      </c>
      <c r="C507" s="168" t="s">
        <v>1183</v>
      </c>
      <c r="D507" s="168" t="s">
        <v>1184</v>
      </c>
      <c r="E507" s="168" t="s">
        <v>1281</v>
      </c>
      <c r="F507" s="168" t="s">
        <v>36</v>
      </c>
      <c r="G507" s="168" t="s">
        <v>67</v>
      </c>
    </row>
    <row r="508" spans="1:7" ht="15" thickBot="1" x14ac:dyDescent="0.4">
      <c r="A508" s="171">
        <f>ROWS($A$6:A508)</f>
        <v>503</v>
      </c>
      <c r="B508" s="168" t="s">
        <v>64</v>
      </c>
      <c r="C508" s="168" t="s">
        <v>1185</v>
      </c>
      <c r="D508" s="168" t="s">
        <v>1186</v>
      </c>
      <c r="E508" s="168" t="s">
        <v>1281</v>
      </c>
      <c r="F508" s="168" t="s">
        <v>39</v>
      </c>
      <c r="G508" s="168" t="s">
        <v>68</v>
      </c>
    </row>
    <row r="509" spans="1:7" ht="15" thickBot="1" x14ac:dyDescent="0.4">
      <c r="A509" s="171">
        <f>ROWS($A$6:A509)</f>
        <v>504</v>
      </c>
      <c r="B509" s="168" t="s">
        <v>64</v>
      </c>
      <c r="C509" s="168" t="s">
        <v>1187</v>
      </c>
      <c r="D509" s="168" t="s">
        <v>1188</v>
      </c>
      <c r="E509" s="168" t="s">
        <v>1281</v>
      </c>
      <c r="F509" s="168" t="s">
        <v>36</v>
      </c>
      <c r="G509" s="168" t="s">
        <v>67</v>
      </c>
    </row>
    <row r="510" spans="1:7" ht="15" thickBot="1" x14ac:dyDescent="0.4">
      <c r="A510" s="171">
        <f>ROWS($A$6:A510)</f>
        <v>505</v>
      </c>
      <c r="B510" s="168" t="s">
        <v>64</v>
      </c>
      <c r="C510" s="168" t="s">
        <v>1189</v>
      </c>
      <c r="D510" s="168" t="s">
        <v>1190</v>
      </c>
      <c r="E510" s="168" t="s">
        <v>1281</v>
      </c>
      <c r="F510" s="168" t="s">
        <v>37</v>
      </c>
      <c r="G510" s="168" t="s">
        <v>67</v>
      </c>
    </row>
    <row r="511" spans="1:7" ht="15" thickBot="1" x14ac:dyDescent="0.4">
      <c r="A511" s="171">
        <f>ROWS($A$6:A511)</f>
        <v>506</v>
      </c>
      <c r="B511" s="168" t="s">
        <v>64</v>
      </c>
      <c r="C511" s="168" t="s">
        <v>1191</v>
      </c>
      <c r="D511" s="168" t="s">
        <v>1192</v>
      </c>
      <c r="E511" s="168" t="s">
        <v>1281</v>
      </c>
      <c r="F511" s="168" t="s">
        <v>37</v>
      </c>
      <c r="G511" s="168" t="s">
        <v>67</v>
      </c>
    </row>
    <row r="512" spans="1:7" ht="15" thickBot="1" x14ac:dyDescent="0.4">
      <c r="A512" s="171">
        <f>ROWS($A$6:A512)</f>
        <v>507</v>
      </c>
      <c r="B512" s="168" t="s">
        <v>64</v>
      </c>
      <c r="C512" s="168" t="s">
        <v>1193</v>
      </c>
      <c r="D512" s="168" t="s">
        <v>1193</v>
      </c>
      <c r="E512" s="168" t="s">
        <v>1281</v>
      </c>
      <c r="F512" s="168" t="s">
        <v>37</v>
      </c>
      <c r="G512" s="168" t="s">
        <v>67</v>
      </c>
    </row>
    <row r="513" spans="1:7" ht="15" thickBot="1" x14ac:dyDescent="0.4">
      <c r="A513" s="171">
        <f>ROWS($A$6:A513)</f>
        <v>508</v>
      </c>
      <c r="B513" s="168" t="s">
        <v>64</v>
      </c>
      <c r="C513" s="168" t="s">
        <v>1194</v>
      </c>
      <c r="D513" s="168" t="s">
        <v>1195</v>
      </c>
      <c r="E513" s="168" t="s">
        <v>1281</v>
      </c>
      <c r="F513" s="168" t="s">
        <v>39</v>
      </c>
      <c r="G513" s="168" t="s">
        <v>68</v>
      </c>
    </row>
    <row r="514" spans="1:7" ht="15" thickBot="1" x14ac:dyDescent="0.4">
      <c r="A514" s="171">
        <f>ROWS($A$6:A514)</f>
        <v>509</v>
      </c>
      <c r="B514" s="168" t="s">
        <v>64</v>
      </c>
      <c r="C514" s="168" t="s">
        <v>1196</v>
      </c>
      <c r="D514" s="168" t="s">
        <v>1197</v>
      </c>
      <c r="E514" s="168" t="s">
        <v>1281</v>
      </c>
      <c r="F514" s="168" t="s">
        <v>39</v>
      </c>
      <c r="G514" s="168" t="s">
        <v>68</v>
      </c>
    </row>
    <row r="515" spans="1:7" ht="15" thickBot="1" x14ac:dyDescent="0.4">
      <c r="A515" s="171">
        <f>ROWS($A$6:A515)</f>
        <v>510</v>
      </c>
      <c r="B515" s="168" t="s">
        <v>64</v>
      </c>
      <c r="C515" s="168" t="s">
        <v>1198</v>
      </c>
      <c r="D515" s="168" t="s">
        <v>1199</v>
      </c>
      <c r="E515" s="168" t="s">
        <v>1281</v>
      </c>
      <c r="F515" s="168" t="s">
        <v>36</v>
      </c>
      <c r="G515" s="168" t="s">
        <v>67</v>
      </c>
    </row>
    <row r="516" spans="1:7" ht="15" thickBot="1" x14ac:dyDescent="0.4">
      <c r="A516" s="171">
        <f>ROWS($A$6:A516)</f>
        <v>511</v>
      </c>
      <c r="B516" s="168" t="s">
        <v>64</v>
      </c>
      <c r="C516" s="168" t="s">
        <v>781</v>
      </c>
      <c r="D516" s="168" t="s">
        <v>1244</v>
      </c>
      <c r="E516" s="168" t="s">
        <v>1282</v>
      </c>
      <c r="F516" s="168" t="s">
        <v>41</v>
      </c>
      <c r="G516" s="168" t="s">
        <v>68</v>
      </c>
    </row>
    <row r="517" spans="1:7" ht="15" thickBot="1" x14ac:dyDescent="0.4">
      <c r="A517" s="171">
        <f>ROWS($A$6:A517)</f>
        <v>512</v>
      </c>
      <c r="B517" s="168" t="s">
        <v>64</v>
      </c>
      <c r="C517" s="168" t="s">
        <v>1200</v>
      </c>
      <c r="D517" s="168" t="s">
        <v>1201</v>
      </c>
      <c r="E517" s="168" t="s">
        <v>1281</v>
      </c>
      <c r="F517" s="168" t="s">
        <v>39</v>
      </c>
      <c r="G517" s="168" t="s">
        <v>68</v>
      </c>
    </row>
    <row r="518" spans="1:7" ht="15" thickBot="1" x14ac:dyDescent="0.4">
      <c r="A518" s="171">
        <f>ROWS($A$6:A518)</f>
        <v>513</v>
      </c>
      <c r="B518" s="168" t="s">
        <v>64</v>
      </c>
      <c r="C518" s="168" t="s">
        <v>1202</v>
      </c>
      <c r="D518" s="168" t="s">
        <v>1203</v>
      </c>
      <c r="E518" s="168" t="s">
        <v>1281</v>
      </c>
      <c r="F518" s="168" t="s">
        <v>36</v>
      </c>
      <c r="G518" s="168" t="s">
        <v>67</v>
      </c>
    </row>
    <row r="519" spans="1:7" ht="15" thickBot="1" x14ac:dyDescent="0.4">
      <c r="A519" s="171">
        <f>ROWS($A$6:A519)</f>
        <v>514</v>
      </c>
      <c r="B519" s="168" t="s">
        <v>64</v>
      </c>
      <c r="C519" s="168" t="s">
        <v>1204</v>
      </c>
      <c r="D519" s="168" t="s">
        <v>1205</v>
      </c>
      <c r="E519" s="168" t="s">
        <v>1281</v>
      </c>
      <c r="F519" s="168" t="s">
        <v>37</v>
      </c>
      <c r="G519" s="168" t="s">
        <v>67</v>
      </c>
    </row>
    <row r="520" spans="1:7" ht="15" thickBot="1" x14ac:dyDescent="0.4">
      <c r="A520" s="171">
        <f>ROWS($A$6:A520)</f>
        <v>515</v>
      </c>
      <c r="B520" s="168" t="s">
        <v>64</v>
      </c>
      <c r="C520" s="168" t="s">
        <v>1206</v>
      </c>
      <c r="D520" s="168" t="s">
        <v>1207</v>
      </c>
      <c r="E520" s="168" t="s">
        <v>1281</v>
      </c>
      <c r="F520" s="168" t="s">
        <v>36</v>
      </c>
      <c r="G520" s="168" t="s">
        <v>67</v>
      </c>
    </row>
    <row r="521" spans="1:7" ht="15" thickBot="1" x14ac:dyDescent="0.4">
      <c r="A521" s="171">
        <f>ROWS($A$6:A521)</f>
        <v>516</v>
      </c>
      <c r="B521" s="168" t="s">
        <v>64</v>
      </c>
      <c r="C521" s="168" t="s">
        <v>1208</v>
      </c>
      <c r="D521" s="168" t="s">
        <v>1209</v>
      </c>
      <c r="E521" s="168" t="s">
        <v>1281</v>
      </c>
      <c r="F521" s="168" t="s">
        <v>41</v>
      </c>
      <c r="G521" s="168" t="s">
        <v>68</v>
      </c>
    </row>
    <row r="522" spans="1:7" ht="15" thickBot="1" x14ac:dyDescent="0.4">
      <c r="A522" s="171">
        <f>ROWS($A$6:A522)</f>
        <v>517</v>
      </c>
      <c r="B522" s="168" t="s">
        <v>64</v>
      </c>
      <c r="C522" s="168" t="s">
        <v>1210</v>
      </c>
      <c r="D522" s="168" t="s">
        <v>1211</v>
      </c>
      <c r="E522" s="168" t="s">
        <v>1281</v>
      </c>
      <c r="F522" s="168" t="s">
        <v>36</v>
      </c>
      <c r="G522" s="168" t="s">
        <v>67</v>
      </c>
    </row>
    <row r="523" spans="1:7" ht="15" thickBot="1" x14ac:dyDescent="0.4">
      <c r="A523" s="171">
        <f>ROWS($A$6:A523)</f>
        <v>518</v>
      </c>
      <c r="B523" s="168" t="s">
        <v>64</v>
      </c>
      <c r="C523" s="168" t="s">
        <v>1212</v>
      </c>
      <c r="D523" s="168" t="s">
        <v>1213</v>
      </c>
      <c r="E523" s="168" t="s">
        <v>1281</v>
      </c>
      <c r="F523" s="168" t="s">
        <v>41</v>
      </c>
      <c r="G523" s="168" t="s">
        <v>68</v>
      </c>
    </row>
    <row r="524" spans="1:7" ht="15" thickBot="1" x14ac:dyDescent="0.4">
      <c r="A524" s="171">
        <f>ROWS($A$6:A524)</f>
        <v>519</v>
      </c>
      <c r="B524" s="168" t="s">
        <v>64</v>
      </c>
      <c r="C524" s="168" t="s">
        <v>1214</v>
      </c>
      <c r="D524" s="168" t="s">
        <v>1008</v>
      </c>
      <c r="E524" s="168" t="s">
        <v>1281</v>
      </c>
      <c r="F524" s="168" t="s">
        <v>37</v>
      </c>
      <c r="G524" s="168" t="s">
        <v>67</v>
      </c>
    </row>
    <row r="525" spans="1:7" ht="15" thickBot="1" x14ac:dyDescent="0.4">
      <c r="A525" s="171">
        <f>ROWS($A$6:A525)</f>
        <v>520</v>
      </c>
      <c r="B525" s="168" t="s">
        <v>64</v>
      </c>
      <c r="C525" s="168" t="s">
        <v>1215</v>
      </c>
      <c r="D525" s="168" t="s">
        <v>1216</v>
      </c>
      <c r="E525" s="168" t="s">
        <v>1281</v>
      </c>
      <c r="F525" s="168" t="s">
        <v>240</v>
      </c>
      <c r="G525" s="168" t="s">
        <v>240</v>
      </c>
    </row>
    <row r="526" spans="1:7" ht="15" thickBot="1" x14ac:dyDescent="0.4">
      <c r="A526" s="171">
        <f>ROWS($A$6:A526)</f>
        <v>521</v>
      </c>
      <c r="B526" s="168" t="s">
        <v>64</v>
      </c>
      <c r="C526" s="168" t="s">
        <v>1217</v>
      </c>
      <c r="D526" s="168" t="s">
        <v>1218</v>
      </c>
      <c r="E526" s="168" t="s">
        <v>1281</v>
      </c>
      <c r="F526" s="168" t="s">
        <v>36</v>
      </c>
      <c r="G526" s="168" t="s">
        <v>67</v>
      </c>
    </row>
    <row r="527" spans="1:7" ht="15" thickBot="1" x14ac:dyDescent="0.4">
      <c r="A527" s="171">
        <f>ROWS($A$6:A527)</f>
        <v>522</v>
      </c>
      <c r="B527" s="168" t="s">
        <v>64</v>
      </c>
      <c r="C527" s="168" t="s">
        <v>1219</v>
      </c>
      <c r="D527" s="168" t="s">
        <v>1220</v>
      </c>
      <c r="E527" s="168" t="s">
        <v>1281</v>
      </c>
      <c r="F527" s="168" t="s">
        <v>37</v>
      </c>
      <c r="G527" s="168" t="s">
        <v>67</v>
      </c>
    </row>
    <row r="528" spans="1:7" ht="15" thickBot="1" x14ac:dyDescent="0.4">
      <c r="A528" s="171">
        <f>ROWS($A$6:A528)</f>
        <v>523</v>
      </c>
      <c r="B528" s="168" t="s">
        <v>64</v>
      </c>
      <c r="C528" s="168" t="s">
        <v>718</v>
      </c>
      <c r="D528" s="168" t="s">
        <v>1221</v>
      </c>
      <c r="E528" s="168" t="s">
        <v>1281</v>
      </c>
      <c r="F528" s="168" t="s">
        <v>36</v>
      </c>
      <c r="G528" s="168" t="s">
        <v>67</v>
      </c>
    </row>
    <row r="529" spans="1:7" ht="15" thickBot="1" x14ac:dyDescent="0.4">
      <c r="A529" s="171">
        <f>ROWS($A$6:A529)</f>
        <v>524</v>
      </c>
      <c r="B529" s="168" t="s">
        <v>64</v>
      </c>
      <c r="C529" s="168" t="s">
        <v>718</v>
      </c>
      <c r="D529" s="168" t="s">
        <v>866</v>
      </c>
      <c r="E529" s="168" t="s">
        <v>1281</v>
      </c>
      <c r="F529" s="168" t="s">
        <v>37</v>
      </c>
      <c r="G529" s="168" t="s">
        <v>67</v>
      </c>
    </row>
    <row r="530" spans="1:7" ht="15" thickBot="1" x14ac:dyDescent="0.4">
      <c r="A530" s="171">
        <f>ROWS($A$6:A530)</f>
        <v>525</v>
      </c>
      <c r="B530" s="168" t="s">
        <v>64</v>
      </c>
      <c r="C530" s="168" t="s">
        <v>1222</v>
      </c>
      <c r="D530" s="168" t="s">
        <v>1223</v>
      </c>
      <c r="E530" s="168" t="s">
        <v>1281</v>
      </c>
      <c r="F530" s="168" t="s">
        <v>36</v>
      </c>
      <c r="G530" s="168" t="s">
        <v>67</v>
      </c>
    </row>
    <row r="531" spans="1:7" ht="15" thickBot="1" x14ac:dyDescent="0.4">
      <c r="A531" s="171">
        <f>ROWS($A$6:A531)</f>
        <v>526</v>
      </c>
      <c r="B531" s="168" t="s">
        <v>64</v>
      </c>
      <c r="C531" s="168" t="s">
        <v>1224</v>
      </c>
      <c r="D531" s="168" t="s">
        <v>1225</v>
      </c>
      <c r="E531" s="168" t="s">
        <v>1281</v>
      </c>
      <c r="F531" s="168" t="s">
        <v>37</v>
      </c>
      <c r="G531" s="168" t="s">
        <v>67</v>
      </c>
    </row>
    <row r="532" spans="1:7" ht="15" thickBot="1" x14ac:dyDescent="0.4">
      <c r="A532" s="171">
        <f>ROWS($A$6:A532)</f>
        <v>527</v>
      </c>
      <c r="B532" s="168" t="s">
        <v>64</v>
      </c>
      <c r="C532" s="168" t="s">
        <v>1226</v>
      </c>
      <c r="D532" s="168" t="s">
        <v>1227</v>
      </c>
      <c r="E532" s="168" t="s">
        <v>1281</v>
      </c>
      <c r="F532" s="168" t="s">
        <v>39</v>
      </c>
      <c r="G532" s="168" t="s">
        <v>68</v>
      </c>
    </row>
    <row r="533" spans="1:7" ht="15" thickBot="1" x14ac:dyDescent="0.4">
      <c r="A533" s="171">
        <f>ROWS($A$6:A533)</f>
        <v>528</v>
      </c>
      <c r="B533" s="168" t="s">
        <v>64</v>
      </c>
      <c r="C533" s="168" t="s">
        <v>1228</v>
      </c>
      <c r="D533" s="168" t="s">
        <v>1229</v>
      </c>
      <c r="E533" s="168" t="s">
        <v>1281</v>
      </c>
      <c r="F533" s="168" t="s">
        <v>36</v>
      </c>
      <c r="G533" s="168" t="s">
        <v>67</v>
      </c>
    </row>
    <row r="534" spans="1:7" ht="15" thickBot="1" x14ac:dyDescent="0.4">
      <c r="A534" s="171">
        <f>ROWS($A$6:A534)</f>
        <v>529</v>
      </c>
      <c r="B534" s="168" t="s">
        <v>64</v>
      </c>
      <c r="C534" s="168" t="s">
        <v>1230</v>
      </c>
      <c r="D534" s="168" t="s">
        <v>609</v>
      </c>
      <c r="E534" s="168" t="s">
        <v>1281</v>
      </c>
      <c r="F534" s="168" t="s">
        <v>38</v>
      </c>
      <c r="G534" s="168" t="s">
        <v>68</v>
      </c>
    </row>
    <row r="535" spans="1:7" ht="15" thickBot="1" x14ac:dyDescent="0.4">
      <c r="A535" s="171">
        <f>ROWS($A$6:A535)</f>
        <v>530</v>
      </c>
      <c r="B535" s="168" t="s">
        <v>64</v>
      </c>
      <c r="C535" s="168" t="s">
        <v>1231</v>
      </c>
      <c r="D535" s="168" t="s">
        <v>1232</v>
      </c>
      <c r="E535" s="168" t="s">
        <v>1281</v>
      </c>
      <c r="F535" s="168" t="s">
        <v>37</v>
      </c>
      <c r="G535" s="168" t="s">
        <v>67</v>
      </c>
    </row>
    <row r="536" spans="1:7" ht="15" thickBot="1" x14ac:dyDescent="0.4">
      <c r="A536" s="171">
        <f>ROWS($A$6:A536)</f>
        <v>531</v>
      </c>
      <c r="B536" s="168" t="s">
        <v>64</v>
      </c>
      <c r="C536" s="168" t="s">
        <v>1233</v>
      </c>
      <c r="D536" s="168" t="s">
        <v>1133</v>
      </c>
      <c r="E536" s="168" t="s">
        <v>1281</v>
      </c>
      <c r="F536" s="168" t="s">
        <v>37</v>
      </c>
      <c r="G536" s="168" t="s">
        <v>67</v>
      </c>
    </row>
    <row r="537" spans="1:7" ht="15" thickBot="1" x14ac:dyDescent="0.4">
      <c r="A537" s="171">
        <f>ROWS($A$6:A537)</f>
        <v>532</v>
      </c>
      <c r="B537" s="168" t="s">
        <v>64</v>
      </c>
      <c r="C537" s="168" t="s">
        <v>1234</v>
      </c>
      <c r="D537" s="168" t="s">
        <v>144</v>
      </c>
      <c r="E537" s="168" t="s">
        <v>1282</v>
      </c>
      <c r="F537" s="168" t="s">
        <v>36</v>
      </c>
      <c r="G537" s="168" t="s">
        <v>67</v>
      </c>
    </row>
    <row r="538" spans="1:7" ht="15" thickBot="1" x14ac:dyDescent="0.4">
      <c r="A538" s="171">
        <f>ROWS($A$6:A538)</f>
        <v>533</v>
      </c>
      <c r="B538" s="168" t="s">
        <v>64</v>
      </c>
      <c r="C538" s="168" t="s">
        <v>1235</v>
      </c>
      <c r="D538" s="168" t="s">
        <v>892</v>
      </c>
      <c r="E538" s="168" t="s">
        <v>1281</v>
      </c>
      <c r="F538" s="168" t="s">
        <v>37</v>
      </c>
      <c r="G538" s="168" t="s">
        <v>67</v>
      </c>
    </row>
    <row r="539" spans="1:7" ht="15" thickBot="1" x14ac:dyDescent="0.4">
      <c r="A539" s="171">
        <f>ROWS($A$6:A539)</f>
        <v>534</v>
      </c>
      <c r="B539" s="168" t="s">
        <v>64</v>
      </c>
      <c r="C539" s="168" t="s">
        <v>1236</v>
      </c>
      <c r="D539" s="168" t="s">
        <v>832</v>
      </c>
      <c r="E539" s="168" t="s">
        <v>1281</v>
      </c>
      <c r="F539" s="168" t="s">
        <v>37</v>
      </c>
      <c r="G539" s="168" t="s">
        <v>67</v>
      </c>
    </row>
    <row r="540" spans="1:7" ht="15" thickBot="1" x14ac:dyDescent="0.4">
      <c r="A540" s="171">
        <f>ROWS($A$6:A540)</f>
        <v>535</v>
      </c>
      <c r="B540" s="168" t="s">
        <v>64</v>
      </c>
      <c r="C540" s="168" t="s">
        <v>1237</v>
      </c>
      <c r="D540" s="168" t="s">
        <v>1238</v>
      </c>
      <c r="E540" s="168" t="s">
        <v>1281</v>
      </c>
      <c r="F540" s="168" t="s">
        <v>37</v>
      </c>
      <c r="G540" s="168" t="s">
        <v>67</v>
      </c>
    </row>
    <row r="541" spans="1:7" ht="15" thickBot="1" x14ac:dyDescent="0.4">
      <c r="A541" s="171">
        <f>ROWS($A$6:A541)</f>
        <v>536</v>
      </c>
      <c r="B541" s="168" t="s">
        <v>64</v>
      </c>
      <c r="C541" s="168" t="s">
        <v>1239</v>
      </c>
      <c r="D541" s="168" t="s">
        <v>1240</v>
      </c>
      <c r="E541" s="168" t="s">
        <v>1281</v>
      </c>
      <c r="F541" s="168" t="s">
        <v>37</v>
      </c>
      <c r="G541" s="168" t="s">
        <v>67</v>
      </c>
    </row>
    <row r="542" spans="1:7" x14ac:dyDescent="0.35">
      <c r="A542" s="171">
        <f>ROWS($A$6:A542)</f>
        <v>537</v>
      </c>
      <c r="B542" s="168" t="s">
        <v>64</v>
      </c>
      <c r="C542" s="168" t="s">
        <v>1241</v>
      </c>
      <c r="D542" s="168" t="s">
        <v>1242</v>
      </c>
      <c r="E542" s="168" t="s">
        <v>1281</v>
      </c>
      <c r="F542" s="168" t="s">
        <v>39</v>
      </c>
      <c r="G542" s="168" t="s">
        <v>68</v>
      </c>
    </row>
  </sheetData>
  <conditionalFormatting sqref="C1:C1048576">
    <cfRule type="duplicateValues" dxfId="0" priority="1"/>
  </conditionalFormatting>
  <hyperlinks>
    <hyperlink ref="A1" location="DM!B8" display="Quay lại" xr:uid="{D88C9B8E-2133-4346-A5FD-24D2ABB0FDFE}"/>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C46C2-2B31-481E-BBAD-B872E6ADE76B}">
  <sheetPr>
    <pageSetUpPr fitToPage="1"/>
  </sheetPr>
  <dimension ref="A1:P43"/>
  <sheetViews>
    <sheetView showGridLines="0" topLeftCell="B10" zoomScale="70" zoomScaleNormal="70" zoomScaleSheetLayoutView="70" workbookViewId="0">
      <selection activeCell="I32" sqref="I32"/>
    </sheetView>
  </sheetViews>
  <sheetFormatPr defaultRowHeight="15.5" x14ac:dyDescent="0.35"/>
  <cols>
    <col min="1" max="1" width="8.7265625" style="79"/>
    <col min="2" max="2" width="27.90625" style="79" bestFit="1" customWidth="1"/>
    <col min="3" max="3" width="33" style="79" customWidth="1"/>
    <col min="4" max="4" width="21.81640625" style="79" customWidth="1"/>
    <col min="5" max="5" width="16.90625" style="79" customWidth="1"/>
    <col min="6" max="6" width="26.54296875" style="79" customWidth="1"/>
    <col min="7" max="7" width="15.08984375" style="79" customWidth="1"/>
    <col min="8" max="8" width="14.7265625" style="79" customWidth="1"/>
    <col min="9" max="14" width="16.453125" style="79" customWidth="1"/>
    <col min="15" max="15" width="17.7265625" style="79" bestFit="1" customWidth="1"/>
    <col min="16" max="16384" width="8.7265625" style="79"/>
  </cols>
  <sheetData>
    <row r="1" spans="1:16" ht="23" customHeight="1" x14ac:dyDescent="0.35">
      <c r="A1" s="279"/>
      <c r="B1" s="279"/>
      <c r="C1" s="280" t="s">
        <v>171</v>
      </c>
      <c r="D1" s="280"/>
      <c r="E1" s="280"/>
      <c r="F1" s="280"/>
      <c r="G1" s="280"/>
      <c r="H1" s="280"/>
      <c r="I1" s="280"/>
      <c r="J1" s="280"/>
      <c r="K1" s="280"/>
      <c r="L1" s="280"/>
      <c r="M1" s="280"/>
      <c r="N1" s="280"/>
      <c r="O1" s="280"/>
      <c r="P1" s="78"/>
    </row>
    <row r="2" spans="1:16" ht="23" customHeight="1" x14ac:dyDescent="0.35">
      <c r="A2" s="279"/>
      <c r="B2" s="279"/>
      <c r="C2" s="280"/>
      <c r="D2" s="280"/>
      <c r="E2" s="280"/>
      <c r="F2" s="280"/>
      <c r="G2" s="280"/>
      <c r="H2" s="280"/>
      <c r="I2" s="280"/>
      <c r="J2" s="280"/>
      <c r="K2" s="280"/>
      <c r="L2" s="280"/>
      <c r="M2" s="280"/>
      <c r="N2" s="280"/>
      <c r="O2" s="280"/>
      <c r="P2" s="78"/>
    </row>
    <row r="5" spans="1:16" x14ac:dyDescent="0.35">
      <c r="A5" s="80" t="s">
        <v>172</v>
      </c>
      <c r="B5" s="80"/>
    </row>
    <row r="6" spans="1:16" s="85" customFormat="1" ht="30" x14ac:dyDescent="0.35">
      <c r="A6" s="81" t="s">
        <v>19</v>
      </c>
      <c r="B6" s="82" t="s">
        <v>123</v>
      </c>
      <c r="C6" s="82" t="s">
        <v>173</v>
      </c>
      <c r="D6" s="83" t="s">
        <v>174</v>
      </c>
      <c r="E6" s="82" t="s">
        <v>175</v>
      </c>
      <c r="F6" s="82" t="s">
        <v>176</v>
      </c>
      <c r="G6" s="83" t="s">
        <v>177</v>
      </c>
      <c r="H6" s="82" t="s">
        <v>178</v>
      </c>
      <c r="I6" s="82" t="s">
        <v>179</v>
      </c>
      <c r="J6" s="84" t="s">
        <v>180</v>
      </c>
      <c r="K6" s="83" t="s">
        <v>227</v>
      </c>
    </row>
    <row r="7" spans="1:16" s="89" customFormat="1" ht="13.65" customHeight="1" x14ac:dyDescent="0.35">
      <c r="A7" s="86" t="s">
        <v>181</v>
      </c>
      <c r="B7" s="87" t="s">
        <v>182</v>
      </c>
      <c r="C7" s="87" t="s">
        <v>183</v>
      </c>
      <c r="D7" s="87" t="s">
        <v>184</v>
      </c>
      <c r="E7" s="87" t="s">
        <v>185</v>
      </c>
      <c r="F7" s="87" t="s">
        <v>186</v>
      </c>
      <c r="G7" s="87" t="s">
        <v>187</v>
      </c>
      <c r="H7" s="87" t="s">
        <v>188</v>
      </c>
      <c r="I7" s="87" t="s">
        <v>189</v>
      </c>
      <c r="J7" s="88" t="s">
        <v>190</v>
      </c>
    </row>
    <row r="8" spans="1:16" s="85" customFormat="1" ht="19.75" customHeight="1" x14ac:dyDescent="0.35">
      <c r="A8" s="90" t="s">
        <v>191</v>
      </c>
      <c r="B8" s="91" t="s">
        <v>192</v>
      </c>
      <c r="C8" s="92"/>
      <c r="D8" s="93">
        <f>SUM(D9:D11)</f>
        <v>591526</v>
      </c>
      <c r="E8" s="94">
        <f>D8/D16</f>
        <v>0.35328209425259482</v>
      </c>
      <c r="F8" s="95">
        <v>9661.075937009211</v>
      </c>
      <c r="G8" s="96">
        <f>O34/Table2[[#This Row],[Sản Lượng Đầu Vào]]</f>
        <v>502.81111903787831</v>
      </c>
      <c r="H8" s="97">
        <f>Table2[[#This Row],[Giá Mua TB]]+Table2[[#This Row],[Đơn Giá Thưởng]]</f>
        <v>10163.88705604709</v>
      </c>
      <c r="I8" s="98">
        <v>10000</v>
      </c>
      <c r="J8" s="99">
        <f>Table2[[#This Row],[Tổng Giá Mua]]-Table2[[#This Row],[Giá TGĐ Duyệt]]</f>
        <v>163.88705604708957</v>
      </c>
    </row>
    <row r="9" spans="1:16" s="85" customFormat="1" ht="19.75" customHeight="1" x14ac:dyDescent="0.35">
      <c r="A9" s="100">
        <v>1</v>
      </c>
      <c r="B9" s="101" t="s">
        <v>193</v>
      </c>
      <c r="C9" s="101" t="s">
        <v>72</v>
      </c>
      <c r="D9" s="102">
        <v>472020</v>
      </c>
      <c r="E9" s="103">
        <f>(D9/$D$8)</f>
        <v>0.79796999624699505</v>
      </c>
      <c r="F9" s="104">
        <v>9658.3676451480296</v>
      </c>
      <c r="G9" s="105" cm="1">
        <f t="array" ref="G9">SUMPRODUCT((Table1[Trạm]=Table2[[#This Row],[Trạm]])*1,Table1[Tổng Thành Tiền Hỗ Trợ Chưa Thuế])/Table2[[#This Row],[Sản Lượng Đầu Vào]]</f>
        <v>455.98142027880175</v>
      </c>
      <c r="H9" s="106">
        <f>Table2[[#This Row],[Giá Mua TB]]+Table2[[#This Row],[Đơn Giá Thưởng]]</f>
        <v>10114.349065426832</v>
      </c>
      <c r="I9" s="107">
        <v>10000</v>
      </c>
      <c r="J9" s="108">
        <f>Table2[[#This Row],[Tổng Giá Mua]]-Table2[[#This Row],[Giá TGĐ Duyệt]]</f>
        <v>114.34906542683166</v>
      </c>
      <c r="K9" s="166">
        <f>(Table2[[#This Row],[Sản Lượng Đầu Vào]]*Table2[[#This Row],[Giá Mua TB]]+(D13*F13))/SUM(Table2[[#This Row],[Sản Lượng Đầu Vào]],D13)</f>
        <v>9541.1563585195508</v>
      </c>
    </row>
    <row r="10" spans="1:16" s="85" customFormat="1" ht="19.75" customHeight="1" x14ac:dyDescent="0.35">
      <c r="A10" s="100">
        <v>2</v>
      </c>
      <c r="B10" s="101" t="s">
        <v>194</v>
      </c>
      <c r="C10" s="101" t="s">
        <v>72</v>
      </c>
      <c r="D10" s="102">
        <f>F29+F30</f>
        <v>40866</v>
      </c>
      <c r="E10" s="103">
        <f t="shared" ref="E10:E11" si="0">(D10/$D$8)</f>
        <v>6.9085720661475572E-2</v>
      </c>
      <c r="F10" s="104">
        <v>9779.4254392404437</v>
      </c>
      <c r="G10" s="105" cm="1">
        <f t="array" ref="G10">SUMPRODUCT((Table1[Trạm]=Table2[[#This Row],[Trạm]])*1,Table1[Tổng Thành Tiền Hỗ Trợ Chưa Thuế])/Table2[[#This Row],[Sản Lượng Đầu Vào]]</f>
        <v>1145.340870161014</v>
      </c>
      <c r="H10" s="106">
        <f>Table2[[#This Row],[Giá Mua TB]]+Table2[[#This Row],[Đơn Giá Thưởng]]</f>
        <v>10924.766309401457</v>
      </c>
      <c r="I10" s="107">
        <v>10000</v>
      </c>
      <c r="J10" s="108">
        <f>Table2[[#This Row],[Tổng Giá Mua]]-Table2[[#This Row],[Giá TGĐ Duyệt]]</f>
        <v>924.76630940145697</v>
      </c>
      <c r="K10" s="166">
        <f>(Table2[[#This Row],[Sản Lượng Đầu Vào]]*Table2[[#This Row],[Giá Mua TB]]+(D14*F14))/SUM(Table2[[#This Row],[Sản Lượng Đầu Vào]],D14)</f>
        <v>9763.3302627617504</v>
      </c>
    </row>
    <row r="11" spans="1:16" s="85" customFormat="1" ht="19.75" customHeight="1" x14ac:dyDescent="0.35">
      <c r="A11" s="100">
        <v>3</v>
      </c>
      <c r="B11" s="101" t="s">
        <v>64</v>
      </c>
      <c r="C11" s="101" t="s">
        <v>72</v>
      </c>
      <c r="D11" s="102">
        <v>78640</v>
      </c>
      <c r="E11" s="103">
        <f t="shared" si="0"/>
        <v>0.13294428309152936</v>
      </c>
      <c r="F11" s="104">
        <v>9615.742624618515</v>
      </c>
      <c r="G11" s="105" cm="1">
        <f t="array" ref="G11">SUMPRODUCT((Table1[Trạm]=Table2[[#This Row],[Trạm]])*1,Table1[Tổng Thành Tiền Hỗ Trợ Chưa Thuế])/Table2[[#This Row],[Sản Lượng Đầu Vào]]</f>
        <v>450</v>
      </c>
      <c r="H11" s="106">
        <f>Table2[[#This Row],[Giá Mua TB]]+Table2[[#This Row],[Đơn Giá Thưởng]]</f>
        <v>10065.742624618515</v>
      </c>
      <c r="I11" s="107">
        <v>10000</v>
      </c>
      <c r="J11" s="108">
        <f>Table2[[#This Row],[Tổng Giá Mua]]-Table2[[#This Row],[Giá TGĐ Duyệt]]</f>
        <v>65.742624618515038</v>
      </c>
      <c r="K11" s="166">
        <f>(Table2[[#This Row],[Sản Lượng Đầu Vào]]*Table2[[#This Row],[Giá Mua TB]]+(D15*F15))/SUM(Table2[[#This Row],[Sản Lượng Đầu Vào]],D15)</f>
        <v>9183.8270695093652</v>
      </c>
    </row>
    <row r="12" spans="1:16" s="85" customFormat="1" ht="19.75" customHeight="1" x14ac:dyDescent="0.35">
      <c r="A12" s="90" t="s">
        <v>195</v>
      </c>
      <c r="B12" s="91" t="s">
        <v>196</v>
      </c>
      <c r="C12" s="109"/>
      <c r="D12" s="93">
        <f>SUM(D13:D15)</f>
        <v>1082847</v>
      </c>
      <c r="E12" s="94">
        <f>D12/D16</f>
        <v>0.64671790574740518</v>
      </c>
      <c r="F12" s="95">
        <v>9367.7123785639924</v>
      </c>
      <c r="G12" s="110">
        <v>0</v>
      </c>
      <c r="H12" s="97">
        <f>Table2[[#This Row],[Giá Mua TB]]+Table2[[#This Row],[Đơn Giá Thưởng]]</f>
        <v>9367.7123785639924</v>
      </c>
      <c r="I12" s="98">
        <v>10000</v>
      </c>
      <c r="J12" s="99">
        <f>Table2[[#This Row],[Tổng Giá Mua]]-Table2[[#This Row],[Giá TGĐ Duyệt]]</f>
        <v>-632.28762143600761</v>
      </c>
    </row>
    <row r="13" spans="1:16" s="85" customFormat="1" ht="19.75" customHeight="1" x14ac:dyDescent="0.35">
      <c r="A13" s="100">
        <v>1</v>
      </c>
      <c r="B13" s="101" t="s">
        <v>193</v>
      </c>
      <c r="C13" s="101" t="s">
        <v>72</v>
      </c>
      <c r="D13" s="102">
        <v>250781</v>
      </c>
      <c r="E13" s="103">
        <f>(D13/$D$12)</f>
        <v>0.23159412179190597</v>
      </c>
      <c r="F13" s="104">
        <v>9320.5412739861367</v>
      </c>
      <c r="G13" s="104">
        <v>0</v>
      </c>
      <c r="H13" s="106">
        <f>Table2[[#This Row],[Giá Mua TB]]+Table2[[#This Row],[Đơn Giá Thưởng]]</f>
        <v>9320.5412739861367</v>
      </c>
      <c r="I13" s="107">
        <v>10000</v>
      </c>
      <c r="J13" s="108">
        <f>Table2[[#This Row],[Tổng Giá Mua]]-Table2[[#This Row],[Giá TGĐ Duyệt]]</f>
        <v>-679.45872601386327</v>
      </c>
    </row>
    <row r="14" spans="1:16" s="85" customFormat="1" ht="19.75" customHeight="1" x14ac:dyDescent="0.35">
      <c r="A14" s="100">
        <v>2</v>
      </c>
      <c r="B14" s="101" t="s">
        <v>194</v>
      </c>
      <c r="C14" s="101" t="s">
        <v>72</v>
      </c>
      <c r="D14" s="102">
        <v>342040</v>
      </c>
      <c r="E14" s="103">
        <f>(D14/$D$12)</f>
        <v>0.31587103256508076</v>
      </c>
      <c r="F14" s="104">
        <v>9761.4072552714606</v>
      </c>
      <c r="G14" s="104">
        <v>0</v>
      </c>
      <c r="H14" s="106">
        <f>Table2[[#This Row],[Giá Mua TB]]+Table2[[#This Row],[Đơn Giá Thưởng]]</f>
        <v>9761.4072552714606</v>
      </c>
      <c r="I14" s="107">
        <v>10000</v>
      </c>
      <c r="J14" s="108">
        <f>Table2[[#This Row],[Tổng Giá Mua]]-Table2[[#This Row],[Giá TGĐ Duyệt]]</f>
        <v>-238.5927447285394</v>
      </c>
    </row>
    <row r="15" spans="1:16" s="85" customFormat="1" ht="18.75" customHeight="1" x14ac:dyDescent="0.35">
      <c r="A15" s="100">
        <v>3</v>
      </c>
      <c r="B15" s="101" t="s">
        <v>64</v>
      </c>
      <c r="C15" s="101" t="s">
        <v>72</v>
      </c>
      <c r="D15" s="102">
        <v>490026</v>
      </c>
      <c r="E15" s="103">
        <f>(D15/$D$12)</f>
        <v>0.45253484564301327</v>
      </c>
      <c r="F15" s="104">
        <v>9114.5127081208193</v>
      </c>
      <c r="G15" s="104">
        <v>0</v>
      </c>
      <c r="H15" s="106">
        <f>Table2[[#This Row],[Giá Mua TB]]+Table2[[#This Row],[Đơn Giá Thưởng]]</f>
        <v>9114.5127081208193</v>
      </c>
      <c r="I15" s="107">
        <v>10000</v>
      </c>
      <c r="J15" s="108">
        <f>Table2[[#This Row],[Tổng Giá Mua]]-Table2[[#This Row],[Giá TGĐ Duyệt]]</f>
        <v>-885.4872918791807</v>
      </c>
    </row>
    <row r="16" spans="1:16" s="85" customFormat="1" ht="25.75" customHeight="1" x14ac:dyDescent="0.35">
      <c r="A16" s="111" t="s">
        <v>197</v>
      </c>
      <c r="B16" s="112" t="s">
        <v>198</v>
      </c>
      <c r="C16" s="113"/>
      <c r="D16" s="114">
        <f>D12+D8</f>
        <v>1674373</v>
      </c>
      <c r="E16" s="115">
        <f>D16/$D$16</f>
        <v>1</v>
      </c>
      <c r="F16" s="116">
        <v>9473.57721658435</v>
      </c>
      <c r="G16" s="117">
        <f>O34/Table2[[#This Row],[Sản Lượng Đầu Vào]]</f>
        <v>177.63416514719242</v>
      </c>
      <c r="H16" s="118">
        <f>Table2[[#This Row],[Giá Mua TB]]+Table2[[#This Row],[Đơn Giá Thưởng]]</f>
        <v>9651.2113817315421</v>
      </c>
      <c r="I16" s="119">
        <v>10000</v>
      </c>
      <c r="J16" s="120">
        <f>Table2[[#This Row],[Tổng Giá Mua]]-Table2[[#This Row],[Giá TGĐ Duyệt]]</f>
        <v>-348.78861826845787</v>
      </c>
    </row>
    <row r="17" spans="1:15" s="85" customFormat="1" x14ac:dyDescent="0.35"/>
    <row r="19" spans="1:15" x14ac:dyDescent="0.35">
      <c r="A19" s="80" t="s">
        <v>199</v>
      </c>
    </row>
    <row r="20" spans="1:15" ht="45" x14ac:dyDescent="0.35">
      <c r="A20" s="121" t="s">
        <v>19</v>
      </c>
      <c r="B20" s="83" t="s">
        <v>123</v>
      </c>
      <c r="C20" s="83" t="s">
        <v>200</v>
      </c>
      <c r="D20" s="83" t="s">
        <v>201</v>
      </c>
      <c r="E20" s="83" t="s">
        <v>202</v>
      </c>
      <c r="F20" s="83" t="s">
        <v>203</v>
      </c>
      <c r="G20" s="83" t="s">
        <v>204</v>
      </c>
      <c r="H20" s="83" t="s">
        <v>205</v>
      </c>
      <c r="I20" s="83" t="s">
        <v>206</v>
      </c>
      <c r="J20" s="83" t="s">
        <v>207</v>
      </c>
      <c r="K20" s="83" t="s">
        <v>208</v>
      </c>
      <c r="L20" s="83" t="s">
        <v>209</v>
      </c>
      <c r="M20" s="83" t="s">
        <v>210</v>
      </c>
      <c r="N20" s="83" t="s">
        <v>211</v>
      </c>
      <c r="O20" s="122" t="s">
        <v>212</v>
      </c>
    </row>
    <row r="21" spans="1:15" x14ac:dyDescent="0.35">
      <c r="A21" s="87" t="s">
        <v>181</v>
      </c>
      <c r="B21" s="87" t="s">
        <v>182</v>
      </c>
      <c r="C21" s="87" t="s">
        <v>183</v>
      </c>
      <c r="D21" s="87" t="s">
        <v>184</v>
      </c>
      <c r="E21" s="87" t="s">
        <v>185</v>
      </c>
      <c r="F21" s="87" t="s">
        <v>186</v>
      </c>
      <c r="G21" s="87" t="s">
        <v>213</v>
      </c>
      <c r="H21" s="87" t="s">
        <v>214</v>
      </c>
      <c r="I21" s="87" t="s">
        <v>189</v>
      </c>
      <c r="J21" s="87" t="s">
        <v>215</v>
      </c>
      <c r="K21" s="87" t="s">
        <v>216</v>
      </c>
      <c r="L21" s="87" t="s">
        <v>217</v>
      </c>
      <c r="M21" s="87" t="s">
        <v>218</v>
      </c>
      <c r="N21" s="87" t="s">
        <v>219</v>
      </c>
      <c r="O21" s="87" t="s">
        <v>220</v>
      </c>
    </row>
    <row r="22" spans="1:15" s="129" customFormat="1" ht="18" x14ac:dyDescent="0.35">
      <c r="A22" s="123">
        <f>ROW()-23</f>
        <v>-1</v>
      </c>
      <c r="B22" s="124" t="s">
        <v>25</v>
      </c>
      <c r="C22" s="124" t="s">
        <v>136</v>
      </c>
      <c r="D22" s="124" t="s">
        <v>30</v>
      </c>
      <c r="E22" s="125">
        <v>30000</v>
      </c>
      <c r="F22" s="125">
        <v>16620</v>
      </c>
      <c r="G22" s="205">
        <f t="shared" ref="G22:G27" si="1">F22/E22</f>
        <v>0.55400000000000005</v>
      </c>
      <c r="H22" s="124">
        <v>150</v>
      </c>
      <c r="I22" s="247">
        <f>IF(F22&gt;=E22*95%,H22*F22,0)</f>
        <v>0</v>
      </c>
      <c r="J22" s="127">
        <f>Table1[[#This Row],[Sản Lượng]]</f>
        <v>16620</v>
      </c>
      <c r="K22" s="124">
        <v>500</v>
      </c>
      <c r="L22" s="125">
        <f t="shared" ref="L22:L27" si="2">K22*J22</f>
        <v>8310000</v>
      </c>
      <c r="M22" s="125">
        <v>0</v>
      </c>
      <c r="N22" s="125">
        <v>0</v>
      </c>
      <c r="O22" s="128">
        <f t="shared" ref="O22:O27" si="3">N22+M22+L22+I22</f>
        <v>8310000</v>
      </c>
    </row>
    <row r="23" spans="1:15" s="129" customFormat="1" ht="18" x14ac:dyDescent="0.35">
      <c r="A23" s="123">
        <f t="shared" ref="A23:A27" si="4">ROW()-23</f>
        <v>0</v>
      </c>
      <c r="B23" s="124" t="s">
        <v>25</v>
      </c>
      <c r="C23" s="124" t="s">
        <v>221</v>
      </c>
      <c r="D23" s="124" t="s">
        <v>48</v>
      </c>
      <c r="E23" s="125">
        <v>30000</v>
      </c>
      <c r="F23" s="125">
        <v>32518</v>
      </c>
      <c r="G23" s="126">
        <f t="shared" si="1"/>
        <v>1.0839333333333334</v>
      </c>
      <c r="H23" s="124">
        <v>150</v>
      </c>
      <c r="I23" s="247">
        <f t="shared" ref="I23:I27" si="5">IF(F23&gt;=E23*95%,H23*F23,0)</f>
        <v>4877700</v>
      </c>
      <c r="J23" s="127">
        <f>Table1[[#This Row],[Sản Lượng]]</f>
        <v>32518</v>
      </c>
      <c r="K23" s="124">
        <v>400</v>
      </c>
      <c r="L23" s="125">
        <f t="shared" si="2"/>
        <v>13007200</v>
      </c>
      <c r="M23" s="125">
        <v>0</v>
      </c>
      <c r="N23" s="125">
        <v>0</v>
      </c>
      <c r="O23" s="128">
        <f t="shared" si="3"/>
        <v>17884900</v>
      </c>
    </row>
    <row r="24" spans="1:15" s="129" customFormat="1" ht="18" x14ac:dyDescent="0.35">
      <c r="A24" s="123">
        <f t="shared" si="4"/>
        <v>1</v>
      </c>
      <c r="B24" s="124" t="s">
        <v>25</v>
      </c>
      <c r="C24" s="124" t="s">
        <v>132</v>
      </c>
      <c r="D24" s="124" t="s">
        <v>31</v>
      </c>
      <c r="E24" s="125">
        <v>50000</v>
      </c>
      <c r="F24" s="125">
        <v>36857</v>
      </c>
      <c r="G24" s="205">
        <f t="shared" si="1"/>
        <v>0.73714000000000002</v>
      </c>
      <c r="H24" s="124">
        <v>150</v>
      </c>
      <c r="I24" s="247">
        <f t="shared" si="5"/>
        <v>0</v>
      </c>
      <c r="J24" s="127">
        <f>Table1[[#This Row],[Sản Lượng]]</f>
        <v>36857</v>
      </c>
      <c r="K24" s="124">
        <v>400</v>
      </c>
      <c r="L24" s="125">
        <f t="shared" si="2"/>
        <v>14742800</v>
      </c>
      <c r="M24" s="125">
        <v>0</v>
      </c>
      <c r="N24" s="125">
        <v>0</v>
      </c>
      <c r="O24" s="128">
        <f t="shared" si="3"/>
        <v>14742800</v>
      </c>
    </row>
    <row r="25" spans="1:15" s="129" customFormat="1" ht="18" x14ac:dyDescent="0.35">
      <c r="A25" s="123">
        <f t="shared" si="4"/>
        <v>2</v>
      </c>
      <c r="B25" s="124" t="s">
        <v>25</v>
      </c>
      <c r="C25" s="124" t="s">
        <v>126</v>
      </c>
      <c r="D25" s="124" t="s">
        <v>63</v>
      </c>
      <c r="E25" s="125">
        <v>100000</v>
      </c>
      <c r="F25" s="125">
        <v>279767</v>
      </c>
      <c r="G25" s="126">
        <f t="shared" si="1"/>
        <v>2.7976700000000001</v>
      </c>
      <c r="H25" s="124">
        <v>150</v>
      </c>
      <c r="I25" s="247">
        <f t="shared" si="5"/>
        <v>41965050</v>
      </c>
      <c r="J25" s="127">
        <f>Table1[[#This Row],[Sản Lượng]]</f>
        <v>279767</v>
      </c>
      <c r="K25" s="124">
        <v>300</v>
      </c>
      <c r="L25" s="125">
        <f t="shared" si="2"/>
        <v>83930100</v>
      </c>
      <c r="M25" s="125">
        <v>0</v>
      </c>
      <c r="N25" s="125">
        <v>0</v>
      </c>
      <c r="O25" s="128">
        <f t="shared" si="3"/>
        <v>125895150</v>
      </c>
    </row>
    <row r="26" spans="1:15" s="129" customFormat="1" ht="18" x14ac:dyDescent="0.35">
      <c r="A26" s="123">
        <f t="shared" si="4"/>
        <v>3</v>
      </c>
      <c r="B26" s="124" t="s">
        <v>25</v>
      </c>
      <c r="C26" s="124" t="s">
        <v>128</v>
      </c>
      <c r="D26" s="124" t="s">
        <v>47</v>
      </c>
      <c r="E26" s="125">
        <v>30000</v>
      </c>
      <c r="F26" s="125">
        <v>31650</v>
      </c>
      <c r="G26" s="126">
        <f t="shared" si="1"/>
        <v>1.0549999999999999</v>
      </c>
      <c r="H26" s="124">
        <v>150</v>
      </c>
      <c r="I26" s="247">
        <f t="shared" si="5"/>
        <v>4747500</v>
      </c>
      <c r="J26" s="127">
        <f>Table1[[#This Row],[Sản Lượng]]</f>
        <v>31650</v>
      </c>
      <c r="K26" s="124">
        <v>400</v>
      </c>
      <c r="L26" s="125">
        <f t="shared" si="2"/>
        <v>12660000</v>
      </c>
      <c r="M26" s="125">
        <v>0</v>
      </c>
      <c r="N26" s="125">
        <v>0</v>
      </c>
      <c r="O26" s="128">
        <f t="shared" si="3"/>
        <v>17407500</v>
      </c>
    </row>
    <row r="27" spans="1:15" s="129" customFormat="1" ht="18" x14ac:dyDescent="0.35">
      <c r="A27" s="123">
        <f t="shared" si="4"/>
        <v>4</v>
      </c>
      <c r="B27" s="124" t="s">
        <v>25</v>
      </c>
      <c r="C27" s="130" t="s">
        <v>222</v>
      </c>
      <c r="D27" s="130" t="s">
        <v>34</v>
      </c>
      <c r="E27" s="131">
        <v>40000</v>
      </c>
      <c r="F27" s="131">
        <v>47680</v>
      </c>
      <c r="G27" s="132">
        <f t="shared" si="1"/>
        <v>1.1919999999999999</v>
      </c>
      <c r="H27" s="130">
        <v>150</v>
      </c>
      <c r="I27" s="248">
        <f t="shared" si="5"/>
        <v>7152000</v>
      </c>
      <c r="J27" s="133">
        <f>Table1[[#This Row],[Sản Lượng]]</f>
        <v>47680</v>
      </c>
      <c r="K27" s="130">
        <v>500</v>
      </c>
      <c r="L27" s="131">
        <f t="shared" si="2"/>
        <v>23840000</v>
      </c>
      <c r="M27" s="125">
        <v>0</v>
      </c>
      <c r="N27" s="125">
        <v>0</v>
      </c>
      <c r="O27" s="134">
        <f t="shared" si="3"/>
        <v>30992000</v>
      </c>
    </row>
    <row r="28" spans="1:15" s="129" customFormat="1" ht="17.5" x14ac:dyDescent="0.35">
      <c r="A28" s="135"/>
      <c r="B28" s="136"/>
      <c r="C28" s="136"/>
      <c r="D28" s="136"/>
      <c r="E28" s="137"/>
      <c r="F28" s="137"/>
      <c r="G28" s="138"/>
      <c r="H28" s="136"/>
      <c r="I28" s="249">
        <f>IF(F28&gt;=E28*95%,H28*F28,0)</f>
        <v>0</v>
      </c>
      <c r="J28" s="139">
        <f>Table1[[#This Row],[Sản Lượng]]</f>
        <v>0</v>
      </c>
      <c r="K28" s="136"/>
      <c r="L28" s="137">
        <f>K28*J28</f>
        <v>0</v>
      </c>
      <c r="M28" s="137"/>
      <c r="N28" s="137"/>
      <c r="O28" s="140">
        <f>SUM(O22:O27)</f>
        <v>215232350</v>
      </c>
    </row>
    <row r="29" spans="1:15" s="129" customFormat="1" ht="18.75" customHeight="1" x14ac:dyDescent="0.35">
      <c r="A29" s="123">
        <f>ROW()-21</f>
        <v>8</v>
      </c>
      <c r="B29" s="124" t="s">
        <v>65</v>
      </c>
      <c r="C29" s="124" t="s">
        <v>140</v>
      </c>
      <c r="D29" s="124" t="s">
        <v>59</v>
      </c>
      <c r="E29" s="125">
        <v>20000</v>
      </c>
      <c r="F29" s="125">
        <v>20579</v>
      </c>
      <c r="G29" s="126">
        <f>F29/E29</f>
        <v>1.02895</v>
      </c>
      <c r="H29" s="124">
        <v>150</v>
      </c>
      <c r="I29" s="247">
        <f>IF(F29&gt;=E29*95%,H29*F29,0)</f>
        <v>3086850</v>
      </c>
      <c r="J29" s="127">
        <v>20579</v>
      </c>
      <c r="K29" s="124">
        <v>400</v>
      </c>
      <c r="L29" s="142">
        <f>K29*J29</f>
        <v>8231600</v>
      </c>
      <c r="M29" s="125">
        <v>10000000</v>
      </c>
      <c r="N29" s="125">
        <v>5000000</v>
      </c>
      <c r="O29" s="125">
        <f>N29+M29+L29+I29</f>
        <v>26318450</v>
      </c>
    </row>
    <row r="30" spans="1:15" s="129" customFormat="1" ht="18.75" customHeight="1" x14ac:dyDescent="0.35">
      <c r="A30" s="123">
        <f>ROW()-21</f>
        <v>9</v>
      </c>
      <c r="B30" s="124" t="s">
        <v>65</v>
      </c>
      <c r="C30" s="124" t="s">
        <v>142</v>
      </c>
      <c r="D30" s="124" t="s">
        <v>41</v>
      </c>
      <c r="E30" s="125">
        <v>20000</v>
      </c>
      <c r="F30" s="125">
        <v>20287</v>
      </c>
      <c r="G30" s="126">
        <f>F30/E30</f>
        <v>1.0143500000000001</v>
      </c>
      <c r="H30" s="124">
        <v>150</v>
      </c>
      <c r="I30" s="247">
        <f>IF(F30&gt;=E30*95%,H30*F30,0)</f>
        <v>3043050</v>
      </c>
      <c r="J30" s="127">
        <v>6110</v>
      </c>
      <c r="K30" s="124">
        <v>400</v>
      </c>
      <c r="L30" s="142">
        <f t="shared" ref="L30" si="6">K30*J30</f>
        <v>2444000</v>
      </c>
      <c r="M30" s="125">
        <v>10000000</v>
      </c>
      <c r="N30" s="125">
        <v>5000000</v>
      </c>
      <c r="O30" s="125">
        <f>N30+M30+L30+I30</f>
        <v>20487050</v>
      </c>
    </row>
    <row r="31" spans="1:15" s="129" customFormat="1" ht="18.75" customHeight="1" x14ac:dyDescent="0.35">
      <c r="A31" s="143"/>
      <c r="B31" s="144"/>
      <c r="C31" s="144"/>
      <c r="D31" s="144"/>
      <c r="E31" s="145"/>
      <c r="F31" s="145"/>
      <c r="G31" s="146"/>
      <c r="H31" s="144"/>
      <c r="I31" s="250"/>
      <c r="J31" s="148"/>
      <c r="K31" s="144"/>
      <c r="L31" s="149"/>
      <c r="M31" s="145"/>
      <c r="N31" s="145"/>
      <c r="O31" s="150">
        <f>SUM(O29:O30)</f>
        <v>46805500</v>
      </c>
    </row>
    <row r="32" spans="1:15" s="129" customFormat="1" ht="18" x14ac:dyDescent="0.35">
      <c r="A32" s="123">
        <f>ROW()-22</f>
        <v>10</v>
      </c>
      <c r="B32" s="124" t="s">
        <v>64</v>
      </c>
      <c r="C32" s="124" t="s">
        <v>223</v>
      </c>
      <c r="D32" s="124" t="s">
        <v>36</v>
      </c>
      <c r="E32" s="125">
        <v>50000</v>
      </c>
      <c r="F32" s="125">
        <v>78640</v>
      </c>
      <c r="G32" s="126">
        <f>F32/E32</f>
        <v>1.5728</v>
      </c>
      <c r="H32" s="124">
        <v>150</v>
      </c>
      <c r="I32" s="247">
        <f>IF(F32&gt;=E32*95%,H32*F32,0)</f>
        <v>11796000</v>
      </c>
      <c r="J32" s="127">
        <f>Table1[[#This Row],[Sản Lượng]]</f>
        <v>78640</v>
      </c>
      <c r="K32" s="124">
        <v>300</v>
      </c>
      <c r="L32" s="125">
        <f>K32*J32</f>
        <v>23592000</v>
      </c>
      <c r="M32" s="125">
        <v>0</v>
      </c>
      <c r="N32" s="125">
        <v>0</v>
      </c>
      <c r="O32" s="128">
        <f>N32+M32+L32+I32</f>
        <v>35388000</v>
      </c>
    </row>
    <row r="33" spans="1:15" s="129" customFormat="1" ht="17.5" x14ac:dyDescent="0.35">
      <c r="A33" s="143"/>
      <c r="B33" s="144"/>
      <c r="C33" s="144"/>
      <c r="D33" s="144"/>
      <c r="E33" s="145"/>
      <c r="F33" s="145"/>
      <c r="G33" s="146"/>
      <c r="H33" s="144"/>
      <c r="I33" s="250">
        <f>IF(F33&gt;=E33*95%,H33*F33,0)</f>
        <v>0</v>
      </c>
      <c r="J33" s="148">
        <f>Table1[[#This Row],[Sản Lượng]]</f>
        <v>0</v>
      </c>
      <c r="K33" s="144"/>
      <c r="L33" s="145">
        <f>K33*J33</f>
        <v>0</v>
      </c>
      <c r="M33" s="145"/>
      <c r="N33" s="145"/>
      <c r="O33" s="151">
        <f>O32</f>
        <v>35388000</v>
      </c>
    </row>
    <row r="34" spans="1:15" s="80" customFormat="1" ht="17.5" x14ac:dyDescent="0.3">
      <c r="A34" s="152"/>
      <c r="B34" s="153"/>
      <c r="C34" s="153"/>
      <c r="D34" s="153"/>
      <c r="E34" s="154">
        <f>SUM(E29:E33)</f>
        <v>90000</v>
      </c>
      <c r="F34" s="154">
        <f>SUM(F29:F33)</f>
        <v>119506</v>
      </c>
      <c r="G34" s="155">
        <f>Table1[[#This Row],[Sản Lượng]]/Table1[[#This Row],[Chỉ Tiêu]]</f>
        <v>1.3278444444444444</v>
      </c>
      <c r="H34" s="153"/>
      <c r="I34" s="251">
        <f>SUM(I29:I33)</f>
        <v>17925900</v>
      </c>
      <c r="J34" s="154">
        <f>SUM(J29:J33)</f>
        <v>105329</v>
      </c>
      <c r="K34" s="153"/>
      <c r="L34" s="154">
        <f>SUM(L29:L33)</f>
        <v>34267600</v>
      </c>
      <c r="M34" s="154">
        <f>SUM(M29:M33)</f>
        <v>20000000</v>
      </c>
      <c r="N34" s="154">
        <f>SUM(N29:N33)</f>
        <v>10000000</v>
      </c>
      <c r="O34" s="140">
        <f>O28+O33+O31</f>
        <v>297425850</v>
      </c>
    </row>
    <row r="36" spans="1:15" x14ac:dyDescent="0.35">
      <c r="A36" s="80" t="s">
        <v>224</v>
      </c>
      <c r="B36" s="80"/>
      <c r="J36" s="156"/>
      <c r="K36" s="157"/>
    </row>
    <row r="37" spans="1:15" ht="21.65" customHeight="1" x14ac:dyDescent="0.35">
      <c r="A37" s="158" t="s">
        <v>19</v>
      </c>
      <c r="B37" s="158" t="s">
        <v>123</v>
      </c>
      <c r="C37" s="159" t="s">
        <v>225</v>
      </c>
      <c r="D37" s="158" t="s">
        <v>226</v>
      </c>
      <c r="E37" s="158" t="s">
        <v>177</v>
      </c>
    </row>
    <row r="38" spans="1:15" ht="21.65" customHeight="1" x14ac:dyDescent="0.35">
      <c r="A38" s="160">
        <v>1</v>
      </c>
      <c r="B38" s="101" t="s">
        <v>193</v>
      </c>
      <c r="C38" s="102">
        <v>513643</v>
      </c>
      <c r="D38" s="161">
        <f>O28</f>
        <v>215232350</v>
      </c>
      <c r="E38" s="105">
        <f>O28/C38</f>
        <v>419.03101959921582</v>
      </c>
    </row>
    <row r="39" spans="1:15" ht="21.65" customHeight="1" x14ac:dyDescent="0.35">
      <c r="A39" s="160">
        <v>2</v>
      </c>
      <c r="B39" s="101" t="s">
        <v>194</v>
      </c>
      <c r="C39" s="102">
        <v>321709</v>
      </c>
      <c r="D39" s="161">
        <f>O31</f>
        <v>46805500</v>
      </c>
      <c r="E39" s="105">
        <f>O31/C39</f>
        <v>145.49017901271026</v>
      </c>
    </row>
    <row r="40" spans="1:15" ht="21.65" customHeight="1" x14ac:dyDescent="0.35">
      <c r="A40" s="160">
        <v>3</v>
      </c>
      <c r="B40" s="101" t="s">
        <v>64</v>
      </c>
      <c r="C40" s="102">
        <v>464909.00000000006</v>
      </c>
      <c r="D40" s="161">
        <f>O33</f>
        <v>35388000</v>
      </c>
      <c r="E40" s="105">
        <f>O33/C40</f>
        <v>76.118122041087602</v>
      </c>
    </row>
    <row r="41" spans="1:15" ht="21.65" customHeight="1" x14ac:dyDescent="0.35">
      <c r="A41" s="162" t="s">
        <v>197</v>
      </c>
      <c r="B41" s="162" t="s">
        <v>198</v>
      </c>
      <c r="C41" s="163">
        <f>SUM(C38:C40)</f>
        <v>1300261</v>
      </c>
      <c r="D41" s="252">
        <f>SUM(D38:D40)</f>
        <v>297425850</v>
      </c>
      <c r="E41" s="165">
        <f>D41/C41</f>
        <v>228.74319079015675</v>
      </c>
    </row>
    <row r="42" spans="1:15" x14ac:dyDescent="0.35">
      <c r="D42" s="253"/>
    </row>
    <row r="43" spans="1:15" x14ac:dyDescent="0.35">
      <c r="D43" s="253"/>
    </row>
  </sheetData>
  <mergeCells count="2">
    <mergeCell ref="A1:B2"/>
    <mergeCell ref="C1:O2"/>
  </mergeCells>
  <pageMargins left="0.7" right="0.7" top="0.75" bottom="0.75" header="0.3" footer="0.3"/>
  <pageSetup scale="43" orientation="landscape" r:id="rId1"/>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C67EC-424F-4970-AFA6-D2999B1B61AE}">
  <sheetPr>
    <pageSetUpPr fitToPage="1"/>
  </sheetPr>
  <dimension ref="A1:P43"/>
  <sheetViews>
    <sheetView showGridLines="0" topLeftCell="A16" zoomScale="90" zoomScaleNormal="90" zoomScaleSheetLayoutView="70" workbookViewId="0">
      <selection activeCell="I24" sqref="I24"/>
    </sheetView>
  </sheetViews>
  <sheetFormatPr defaultRowHeight="15.5" x14ac:dyDescent="0.35"/>
  <cols>
    <col min="1" max="1" width="8.7265625" style="79"/>
    <col min="2" max="2" width="27.90625" style="79" bestFit="1" customWidth="1"/>
    <col min="3" max="3" width="33" style="79" customWidth="1"/>
    <col min="4" max="4" width="21.81640625" style="79" customWidth="1"/>
    <col min="5" max="5" width="16.90625" style="79" customWidth="1"/>
    <col min="6" max="6" width="26.54296875" style="79" customWidth="1"/>
    <col min="7" max="7" width="15.08984375" style="79" customWidth="1"/>
    <col min="8" max="8" width="14.7265625" style="79" customWidth="1"/>
    <col min="9" max="14" width="16.453125" style="79" customWidth="1"/>
    <col min="15" max="15" width="17.7265625" style="79" bestFit="1" customWidth="1"/>
    <col min="16" max="16384" width="8.7265625" style="79"/>
  </cols>
  <sheetData>
    <row r="1" spans="1:16" ht="23" customHeight="1" x14ac:dyDescent="0.35">
      <c r="A1" s="279"/>
      <c r="B1" s="279"/>
      <c r="C1" s="280" t="s">
        <v>1271</v>
      </c>
      <c r="D1" s="280"/>
      <c r="E1" s="280"/>
      <c r="F1" s="280"/>
      <c r="G1" s="280"/>
      <c r="H1" s="280"/>
      <c r="I1" s="280"/>
      <c r="J1" s="280"/>
      <c r="K1" s="280"/>
      <c r="L1" s="280"/>
      <c r="M1" s="280"/>
      <c r="N1" s="280"/>
      <c r="O1" s="280"/>
      <c r="P1" s="78"/>
    </row>
    <row r="2" spans="1:16" ht="23" customHeight="1" x14ac:dyDescent="0.35">
      <c r="A2" s="279"/>
      <c r="B2" s="279"/>
      <c r="C2" s="280"/>
      <c r="D2" s="280"/>
      <c r="E2" s="280"/>
      <c r="F2" s="280"/>
      <c r="G2" s="280"/>
      <c r="H2" s="280"/>
      <c r="I2" s="280"/>
      <c r="J2" s="280"/>
      <c r="K2" s="280"/>
      <c r="L2" s="280"/>
      <c r="M2" s="280"/>
      <c r="N2" s="280"/>
      <c r="O2" s="280"/>
      <c r="P2" s="78"/>
    </row>
    <row r="5" spans="1:16" x14ac:dyDescent="0.35">
      <c r="A5" s="80" t="s">
        <v>172</v>
      </c>
      <c r="B5" s="80"/>
    </row>
    <row r="6" spans="1:16" s="85" customFormat="1" ht="30" x14ac:dyDescent="0.35">
      <c r="A6" s="81" t="s">
        <v>19</v>
      </c>
      <c r="B6" s="82" t="s">
        <v>123</v>
      </c>
      <c r="C6" s="82" t="s">
        <v>173</v>
      </c>
      <c r="D6" s="83" t="s">
        <v>174</v>
      </c>
      <c r="E6" s="82" t="s">
        <v>175</v>
      </c>
      <c r="F6" s="82" t="s">
        <v>176</v>
      </c>
      <c r="G6" s="83" t="s">
        <v>177</v>
      </c>
      <c r="H6" s="82" t="s">
        <v>178</v>
      </c>
      <c r="I6" s="82" t="s">
        <v>179</v>
      </c>
      <c r="J6" s="84" t="s">
        <v>180</v>
      </c>
    </row>
    <row r="7" spans="1:16" s="89" customFormat="1" ht="13.65" customHeight="1" x14ac:dyDescent="0.35">
      <c r="A7" s="86" t="s">
        <v>181</v>
      </c>
      <c r="B7" s="87" t="s">
        <v>182</v>
      </c>
      <c r="C7" s="87" t="s">
        <v>183</v>
      </c>
      <c r="D7" s="87" t="s">
        <v>184</v>
      </c>
      <c r="E7" s="87" t="s">
        <v>185</v>
      </c>
      <c r="F7" s="87" t="s">
        <v>186</v>
      </c>
      <c r="G7" s="87" t="s">
        <v>187</v>
      </c>
      <c r="H7" s="87" t="s">
        <v>188</v>
      </c>
      <c r="I7" s="87" t="s">
        <v>189</v>
      </c>
      <c r="J7" s="88" t="s">
        <v>190</v>
      </c>
    </row>
    <row r="8" spans="1:16" s="85" customFormat="1" ht="19.75" customHeight="1" x14ac:dyDescent="0.35">
      <c r="A8" s="90" t="s">
        <v>191</v>
      </c>
      <c r="B8" s="91" t="s">
        <v>192</v>
      </c>
      <c r="C8" s="92"/>
      <c r="D8" s="93">
        <f>SUM(D9:D11)</f>
        <v>933850</v>
      </c>
      <c r="E8" s="94">
        <f>D8/D16</f>
        <v>0.30905954687372789</v>
      </c>
      <c r="F8" s="95">
        <v>9661.075937009211</v>
      </c>
      <c r="G8" s="96">
        <f>O36/Table210[[#This Row],[Sản Lượng Đầu Vào]]</f>
        <v>495.98747122128822</v>
      </c>
      <c r="H8" s="97">
        <f>Table210[[#This Row],[Giá Mua TB]]+Table210[[#This Row],[Đơn Giá Thưởng]]</f>
        <v>10157.063408230499</v>
      </c>
      <c r="I8" s="98">
        <v>10000</v>
      </c>
      <c r="J8" s="99">
        <f>Table210[[#This Row],[Tổng Giá Mua]]-Table210[[#This Row],[Giá TGĐ Duyệt]]</f>
        <v>157.06340823049868</v>
      </c>
    </row>
    <row r="9" spans="1:16" s="85" customFormat="1" ht="19.75" customHeight="1" x14ac:dyDescent="0.35">
      <c r="A9" s="100">
        <v>1</v>
      </c>
      <c r="B9" s="101" t="s">
        <v>193</v>
      </c>
      <c r="C9" s="101" t="s">
        <v>72</v>
      </c>
      <c r="D9" s="102">
        <v>794780</v>
      </c>
      <c r="E9" s="103">
        <f>(D9/$D$8)</f>
        <v>0.85107886705573699</v>
      </c>
      <c r="F9" s="104">
        <v>9909.6059518421007</v>
      </c>
      <c r="G9" s="105" cm="1">
        <f t="array" ref="G9">SUMPRODUCT((Table19[Trạm]=Table210[[#This Row],[Trạm]])*1,Table19[Tổng Thành Tiền Hỗ Trợ Chưa Thuế])/Table210[[#This Row],[Sản Lượng Đầu Vào]]</f>
        <v>477.52422053901711</v>
      </c>
      <c r="H9" s="106">
        <f>Table210[[#This Row],[Giá Mua TB]]+Table210[[#This Row],[Đơn Giá Thưởng]]</f>
        <v>10387.130172381118</v>
      </c>
      <c r="I9" s="107">
        <v>10000</v>
      </c>
      <c r="J9" s="108">
        <f>Table210[[#This Row],[Tổng Giá Mua]]-Table210[[#This Row],[Giá TGĐ Duyệt]]</f>
        <v>387.13017238111752</v>
      </c>
    </row>
    <row r="10" spans="1:16" s="85" customFormat="1" ht="19.75" customHeight="1" x14ac:dyDescent="0.35">
      <c r="A10" s="100">
        <v>2</v>
      </c>
      <c r="B10" s="101" t="s">
        <v>194</v>
      </c>
      <c r="C10" s="101" t="s">
        <v>72</v>
      </c>
      <c r="D10" s="102">
        <v>35280</v>
      </c>
      <c r="E10" s="103">
        <f t="shared" ref="E10:E11" si="0">(D10/$D$8)</f>
        <v>3.7779086577073406E-2</v>
      </c>
      <c r="F10" s="104">
        <v>9799.1581479254364</v>
      </c>
      <c r="G10" s="105" cm="1">
        <f t="array" ref="G10">SUMPRODUCT((Table19[Trạm]=Table210[[#This Row],[Trạm]])*1,Table19[Tổng Thành Tiền Hỗ Trợ Chưa Thuế])/Table210[[#This Row],[Sản Lượng Đầu Vào]]</f>
        <v>1054.4203514739229</v>
      </c>
      <c r="H10" s="106">
        <f>Table210[[#This Row],[Giá Mua TB]]+Table210[[#This Row],[Đơn Giá Thưởng]]</f>
        <v>10853.578499399358</v>
      </c>
      <c r="I10" s="107">
        <v>10000</v>
      </c>
      <c r="J10" s="108">
        <f>Table210[[#This Row],[Tổng Giá Mua]]-Table210[[#This Row],[Giá TGĐ Duyệt]]</f>
        <v>853.57849939935841</v>
      </c>
    </row>
    <row r="11" spans="1:16" s="85" customFormat="1" ht="19.75" customHeight="1" x14ac:dyDescent="0.35">
      <c r="A11" s="100">
        <v>3</v>
      </c>
      <c r="B11" s="101" t="s">
        <v>64</v>
      </c>
      <c r="C11" s="101" t="s">
        <v>72</v>
      </c>
      <c r="D11" s="102">
        <v>103790</v>
      </c>
      <c r="E11" s="103">
        <f t="shared" si="0"/>
        <v>0.11114204636718959</v>
      </c>
      <c r="F11" s="104">
        <v>9700</v>
      </c>
      <c r="G11" s="105" cm="1">
        <f t="array" ref="G11">SUMPRODUCT((Table19[Trạm]=Table210[[#This Row],[Trạm]])*1,Table19[Tổng Thành Tiền Hỗ Trợ Chưa Thuế])/Table210[[#This Row],[Sản Lượng Đầu Vào]]</f>
        <v>447.55034203680509</v>
      </c>
      <c r="H11" s="106">
        <f>Table210[[#This Row],[Giá Mua TB]]+Table210[[#This Row],[Đơn Giá Thưởng]]</f>
        <v>10147.550342036806</v>
      </c>
      <c r="I11" s="107">
        <v>10000</v>
      </c>
      <c r="J11" s="108">
        <f>Table210[[#This Row],[Tổng Giá Mua]]-Table210[[#This Row],[Giá TGĐ Duyệt]]</f>
        <v>147.55034203680589</v>
      </c>
    </row>
    <row r="12" spans="1:16" s="85" customFormat="1" ht="19.75" customHeight="1" x14ac:dyDescent="0.35">
      <c r="A12" s="90" t="s">
        <v>195</v>
      </c>
      <c r="B12" s="91" t="s">
        <v>196</v>
      </c>
      <c r="C12" s="109"/>
      <c r="D12" s="93">
        <f>SUM(D13:D15)</f>
        <v>2087736</v>
      </c>
      <c r="E12" s="94">
        <f>D12/D16</f>
        <v>0.69094045312627206</v>
      </c>
      <c r="F12" s="95">
        <v>9367.7123785639924</v>
      </c>
      <c r="G12" s="110">
        <v>0</v>
      </c>
      <c r="H12" s="97">
        <f>Table210[[#This Row],[Giá Mua TB]]+Table210[[#This Row],[Đơn Giá Thưởng]]</f>
        <v>9367.7123785639924</v>
      </c>
      <c r="I12" s="98">
        <v>10000</v>
      </c>
      <c r="J12" s="99">
        <f>Table210[[#This Row],[Tổng Giá Mua]]-Table210[[#This Row],[Giá TGĐ Duyệt]]</f>
        <v>-632.28762143600761</v>
      </c>
    </row>
    <row r="13" spans="1:16" s="85" customFormat="1" ht="19.75" customHeight="1" x14ac:dyDescent="0.35">
      <c r="A13" s="100">
        <v>1</v>
      </c>
      <c r="B13" s="101" t="s">
        <v>193</v>
      </c>
      <c r="C13" s="101" t="s">
        <v>72</v>
      </c>
      <c r="D13" s="102">
        <v>581736</v>
      </c>
      <c r="E13" s="103">
        <f>(D13/$D$12)</f>
        <v>0.27864442630677444</v>
      </c>
      <c r="F13" s="104">
        <v>9663.6079759551012</v>
      </c>
      <c r="G13" s="104">
        <v>0</v>
      </c>
      <c r="H13" s="106">
        <f>Table210[[#This Row],[Giá Mua TB]]+Table210[[#This Row],[Đơn Giá Thưởng]]</f>
        <v>9663.6079759551012</v>
      </c>
      <c r="I13" s="107">
        <v>10000</v>
      </c>
      <c r="J13" s="108">
        <f>Table210[[#This Row],[Tổng Giá Mua]]-Table210[[#This Row],[Giá TGĐ Duyệt]]</f>
        <v>-336.39202404489879</v>
      </c>
    </row>
    <row r="14" spans="1:16" s="85" customFormat="1" ht="19.75" customHeight="1" x14ac:dyDescent="0.35">
      <c r="A14" s="100">
        <v>2</v>
      </c>
      <c r="B14" s="101" t="s">
        <v>194</v>
      </c>
      <c r="C14" s="101" t="s">
        <v>72</v>
      </c>
      <c r="D14" s="102">
        <v>713100</v>
      </c>
      <c r="E14" s="103">
        <f>(D14/$D$12)</f>
        <v>0.34156617503362496</v>
      </c>
      <c r="F14" s="104">
        <v>10101.496140761605</v>
      </c>
      <c r="G14" s="104">
        <v>0</v>
      </c>
      <c r="H14" s="106">
        <f>Table210[[#This Row],[Giá Mua TB]]+Table210[[#This Row],[Đơn Giá Thưởng]]</f>
        <v>10101.496140761605</v>
      </c>
      <c r="I14" s="107">
        <v>10000</v>
      </c>
      <c r="J14" s="108">
        <f>Table210[[#This Row],[Tổng Giá Mua]]-Table210[[#This Row],[Giá TGĐ Duyệt]]</f>
        <v>101.49614076160469</v>
      </c>
    </row>
    <row r="15" spans="1:16" s="85" customFormat="1" ht="18.75" customHeight="1" x14ac:dyDescent="0.35">
      <c r="A15" s="100">
        <v>3</v>
      </c>
      <c r="B15" s="101" t="s">
        <v>64</v>
      </c>
      <c r="C15" s="101" t="s">
        <v>72</v>
      </c>
      <c r="D15" s="102">
        <v>792900</v>
      </c>
      <c r="E15" s="103">
        <f>(D15/$D$12)</f>
        <v>0.37978939865960065</v>
      </c>
      <c r="F15" s="104">
        <v>9286.4969894849546</v>
      </c>
      <c r="G15" s="104">
        <v>0</v>
      </c>
      <c r="H15" s="106">
        <f>Table210[[#This Row],[Giá Mua TB]]+Table210[[#This Row],[Đơn Giá Thưởng]]</f>
        <v>9286.4969894849546</v>
      </c>
      <c r="I15" s="107">
        <v>10000</v>
      </c>
      <c r="J15" s="108">
        <f>Table210[[#This Row],[Tổng Giá Mua]]-Table210[[#This Row],[Giá TGĐ Duyệt]]</f>
        <v>-713.50301051504539</v>
      </c>
    </row>
    <row r="16" spans="1:16" s="85" customFormat="1" ht="25.75" customHeight="1" x14ac:dyDescent="0.35">
      <c r="A16" s="111" t="s">
        <v>197</v>
      </c>
      <c r="B16" s="112" t="s">
        <v>198</v>
      </c>
      <c r="C16" s="113"/>
      <c r="D16" s="114">
        <f>D12+D8</f>
        <v>3021586</v>
      </c>
      <c r="E16" s="115">
        <f>D16/$D$16</f>
        <v>1</v>
      </c>
      <c r="F16" s="116">
        <v>9736.9340079333233</v>
      </c>
      <c r="G16" s="117">
        <f>O36/Table210[[#This Row],[Sản Lượng Đầu Vào]]</f>
        <v>153.28966311069749</v>
      </c>
      <c r="H16" s="118">
        <f>Table210[[#This Row],[Giá Mua TB]]+Table210[[#This Row],[Đơn Giá Thưởng]]</f>
        <v>9890.2236710440211</v>
      </c>
      <c r="I16" s="119">
        <v>10000</v>
      </c>
      <c r="J16" s="120">
        <f>Table210[[#This Row],[Tổng Giá Mua]]-Table210[[#This Row],[Giá TGĐ Duyệt]]</f>
        <v>-109.7763289559789</v>
      </c>
    </row>
    <row r="17" spans="1:15" s="85" customFormat="1" x14ac:dyDescent="0.35"/>
    <row r="19" spans="1:15" x14ac:dyDescent="0.35">
      <c r="A19" s="80" t="s">
        <v>199</v>
      </c>
    </row>
    <row r="20" spans="1:15" ht="45" x14ac:dyDescent="0.35">
      <c r="A20" s="121" t="s">
        <v>19</v>
      </c>
      <c r="B20" s="83" t="s">
        <v>123</v>
      </c>
      <c r="C20" s="83" t="s">
        <v>200</v>
      </c>
      <c r="D20" s="83" t="s">
        <v>201</v>
      </c>
      <c r="E20" s="83" t="s">
        <v>202</v>
      </c>
      <c r="F20" s="83" t="s">
        <v>203</v>
      </c>
      <c r="G20" s="83" t="s">
        <v>204</v>
      </c>
      <c r="H20" s="83" t="s">
        <v>205</v>
      </c>
      <c r="I20" s="83" t="s">
        <v>206</v>
      </c>
      <c r="J20" s="83" t="s">
        <v>207</v>
      </c>
      <c r="K20" s="83" t="s">
        <v>208</v>
      </c>
      <c r="L20" s="83" t="s">
        <v>209</v>
      </c>
      <c r="M20" s="83" t="s">
        <v>210</v>
      </c>
      <c r="N20" s="83" t="s">
        <v>211</v>
      </c>
      <c r="O20" s="122" t="s">
        <v>212</v>
      </c>
    </row>
    <row r="21" spans="1:15" x14ac:dyDescent="0.35">
      <c r="A21" s="87" t="s">
        <v>181</v>
      </c>
      <c r="B21" s="87" t="s">
        <v>182</v>
      </c>
      <c r="C21" s="87" t="s">
        <v>183</v>
      </c>
      <c r="D21" s="87" t="s">
        <v>184</v>
      </c>
      <c r="E21" s="87" t="s">
        <v>185</v>
      </c>
      <c r="F21" s="87" t="s">
        <v>186</v>
      </c>
      <c r="G21" s="87" t="s">
        <v>213</v>
      </c>
      <c r="H21" s="87" t="s">
        <v>214</v>
      </c>
      <c r="I21" s="87" t="s">
        <v>189</v>
      </c>
      <c r="J21" s="87" t="s">
        <v>215</v>
      </c>
      <c r="K21" s="87" t="s">
        <v>216</v>
      </c>
      <c r="L21" s="87" t="s">
        <v>217</v>
      </c>
      <c r="M21" s="87" t="s">
        <v>218</v>
      </c>
      <c r="N21" s="87" t="s">
        <v>219</v>
      </c>
      <c r="O21" s="87" t="s">
        <v>220</v>
      </c>
    </row>
    <row r="22" spans="1:15" s="129" customFormat="1" ht="18" x14ac:dyDescent="0.35">
      <c r="A22" s="123">
        <f>ROW()-21</f>
        <v>1</v>
      </c>
      <c r="B22" s="124" t="s">
        <v>25</v>
      </c>
      <c r="C22" s="124" t="s">
        <v>136</v>
      </c>
      <c r="D22" s="124" t="s">
        <v>30</v>
      </c>
      <c r="E22" s="125">
        <v>50000</v>
      </c>
      <c r="F22" s="125">
        <v>62456</v>
      </c>
      <c r="G22" s="126">
        <f t="shared" ref="G22:G29" si="1">F22/E22</f>
        <v>1.24912</v>
      </c>
      <c r="H22" s="124">
        <v>150</v>
      </c>
      <c r="I22" s="125">
        <f>IF(F22&gt;=E22*95%,H22*F22,0)</f>
        <v>9368400</v>
      </c>
      <c r="J22" s="127">
        <f>Table19[[#This Row],[Sản Lượng]]</f>
        <v>62456</v>
      </c>
      <c r="K22" s="124">
        <v>500</v>
      </c>
      <c r="L22" s="125">
        <f t="shared" ref="L22:L29" si="2">K22*J22</f>
        <v>31228000</v>
      </c>
      <c r="M22" s="125">
        <v>0</v>
      </c>
      <c r="N22" s="125">
        <v>0</v>
      </c>
      <c r="O22" s="128">
        <f t="shared" ref="O22:O29" si="3">N22+M22+L22+I22</f>
        <v>40596400</v>
      </c>
    </row>
    <row r="23" spans="1:15" s="129" customFormat="1" ht="18" x14ac:dyDescent="0.35">
      <c r="A23" s="123">
        <f t="shared" ref="A23:A29" si="4">ROW()-21</f>
        <v>2</v>
      </c>
      <c r="B23" s="124" t="s">
        <v>25</v>
      </c>
      <c r="C23" s="124" t="s">
        <v>221</v>
      </c>
      <c r="D23" s="124" t="s">
        <v>48</v>
      </c>
      <c r="E23" s="125">
        <v>50000</v>
      </c>
      <c r="F23" s="125">
        <v>62032</v>
      </c>
      <c r="G23" s="126">
        <f t="shared" si="1"/>
        <v>1.24064</v>
      </c>
      <c r="H23" s="124">
        <v>150</v>
      </c>
      <c r="I23" s="125">
        <f t="shared" ref="I23:I29" si="5">IF(F23&gt;=E23*95%,H23*F23,0)</f>
        <v>9304800</v>
      </c>
      <c r="J23" s="127">
        <f>Table19[[#This Row],[Sản Lượng]]</f>
        <v>62032</v>
      </c>
      <c r="K23" s="124">
        <v>400</v>
      </c>
      <c r="L23" s="125">
        <f t="shared" si="2"/>
        <v>24812800</v>
      </c>
      <c r="M23" s="125">
        <v>0</v>
      </c>
      <c r="N23" s="125">
        <v>0</v>
      </c>
      <c r="O23" s="128">
        <f t="shared" si="3"/>
        <v>34117600</v>
      </c>
    </row>
    <row r="24" spans="1:15" s="129" customFormat="1" ht="18" x14ac:dyDescent="0.35">
      <c r="A24" s="123">
        <f t="shared" si="4"/>
        <v>3</v>
      </c>
      <c r="B24" s="124" t="s">
        <v>25</v>
      </c>
      <c r="C24" s="124" t="s">
        <v>231</v>
      </c>
      <c r="D24" s="124" t="s">
        <v>47</v>
      </c>
      <c r="E24" s="125">
        <v>15000</v>
      </c>
      <c r="F24" s="125">
        <v>12453</v>
      </c>
      <c r="G24" s="126">
        <f t="shared" si="1"/>
        <v>0.83020000000000005</v>
      </c>
      <c r="H24" s="124">
        <v>150</v>
      </c>
      <c r="I24" s="125">
        <f t="shared" si="5"/>
        <v>0</v>
      </c>
      <c r="J24" s="127">
        <f>Table19[[#This Row],[Sản Lượng]]</f>
        <v>12453</v>
      </c>
      <c r="K24" s="124">
        <v>400</v>
      </c>
      <c r="L24" s="125">
        <f t="shared" si="2"/>
        <v>4981200</v>
      </c>
      <c r="M24" s="125">
        <v>0</v>
      </c>
      <c r="N24" s="125">
        <v>0</v>
      </c>
      <c r="O24" s="128">
        <f t="shared" si="3"/>
        <v>4981200</v>
      </c>
    </row>
    <row r="25" spans="1:15" s="129" customFormat="1" ht="18" x14ac:dyDescent="0.35">
      <c r="A25" s="123">
        <f t="shared" si="4"/>
        <v>4</v>
      </c>
      <c r="B25" s="124" t="s">
        <v>25</v>
      </c>
      <c r="C25" s="124" t="s">
        <v>128</v>
      </c>
      <c r="D25" s="124" t="s">
        <v>47</v>
      </c>
      <c r="E25" s="125">
        <v>30000</v>
      </c>
      <c r="F25" s="125">
        <v>28539</v>
      </c>
      <c r="G25" s="126">
        <f t="shared" si="1"/>
        <v>0.95130000000000003</v>
      </c>
      <c r="H25" s="124">
        <v>150</v>
      </c>
      <c r="I25" s="125">
        <f t="shared" si="5"/>
        <v>4280850</v>
      </c>
      <c r="J25" s="127">
        <f>Table19[[#This Row],[Sản Lượng]]</f>
        <v>28539</v>
      </c>
      <c r="K25" s="124">
        <v>400</v>
      </c>
      <c r="L25" s="125">
        <f t="shared" si="2"/>
        <v>11415600</v>
      </c>
      <c r="M25" s="125">
        <v>0</v>
      </c>
      <c r="N25" s="125">
        <v>0</v>
      </c>
      <c r="O25" s="128">
        <f t="shared" si="3"/>
        <v>15696450</v>
      </c>
    </row>
    <row r="26" spans="1:15" s="129" customFormat="1" ht="18" x14ac:dyDescent="0.35">
      <c r="A26" s="123">
        <f t="shared" si="4"/>
        <v>5</v>
      </c>
      <c r="B26" s="124" t="s">
        <v>25</v>
      </c>
      <c r="C26" s="130" t="s">
        <v>132</v>
      </c>
      <c r="D26" s="124" t="s">
        <v>31</v>
      </c>
      <c r="E26" s="125">
        <v>80000</v>
      </c>
      <c r="F26" s="125">
        <v>85920</v>
      </c>
      <c r="G26" s="126">
        <f t="shared" si="1"/>
        <v>1.0740000000000001</v>
      </c>
      <c r="H26" s="124">
        <v>150</v>
      </c>
      <c r="I26" s="125">
        <f t="shared" si="5"/>
        <v>12888000</v>
      </c>
      <c r="J26" s="127">
        <f>Table19[[#This Row],[Sản Lượng]]</f>
        <v>85920</v>
      </c>
      <c r="K26" s="124">
        <v>400</v>
      </c>
      <c r="L26" s="125">
        <f t="shared" si="2"/>
        <v>34368000</v>
      </c>
      <c r="M26" s="125">
        <v>0</v>
      </c>
      <c r="N26" s="125">
        <v>0</v>
      </c>
      <c r="O26" s="128">
        <f t="shared" si="3"/>
        <v>47256000</v>
      </c>
    </row>
    <row r="27" spans="1:15" s="129" customFormat="1" ht="18" x14ac:dyDescent="0.35">
      <c r="A27" s="123">
        <f t="shared" si="4"/>
        <v>6</v>
      </c>
      <c r="B27" s="124" t="s">
        <v>25</v>
      </c>
      <c r="C27" s="130" t="s">
        <v>1272</v>
      </c>
      <c r="D27" s="130" t="s">
        <v>34</v>
      </c>
      <c r="E27" s="131">
        <v>80000</v>
      </c>
      <c r="F27" s="131">
        <v>136231</v>
      </c>
      <c r="G27" s="132">
        <f>F27/E27</f>
        <v>1.7028875000000001</v>
      </c>
      <c r="H27" s="124">
        <v>150</v>
      </c>
      <c r="I27" s="131">
        <f>IF(F27&gt;=E27*95%,H27*F27,0)</f>
        <v>20434650</v>
      </c>
      <c r="J27" s="133">
        <f>Table19[[#This Row],[Sản Lượng]]</f>
        <v>136231</v>
      </c>
      <c r="K27" s="124">
        <v>500</v>
      </c>
      <c r="L27" s="131">
        <f>K27*J27</f>
        <v>68115500</v>
      </c>
      <c r="M27" s="125"/>
      <c r="N27" s="125"/>
      <c r="O27" s="134">
        <f>N27+M27+L27+I27</f>
        <v>88550150</v>
      </c>
    </row>
    <row r="28" spans="1:15" s="129" customFormat="1" ht="18" x14ac:dyDescent="0.35">
      <c r="A28" s="123">
        <f t="shared" si="4"/>
        <v>7</v>
      </c>
      <c r="B28" s="124" t="s">
        <v>25</v>
      </c>
      <c r="C28" s="130" t="s">
        <v>126</v>
      </c>
      <c r="D28" s="130" t="s">
        <v>63</v>
      </c>
      <c r="E28" s="131">
        <v>200000</v>
      </c>
      <c r="F28" s="131">
        <v>286462</v>
      </c>
      <c r="G28" s="132">
        <f>F28/E28</f>
        <v>1.43231</v>
      </c>
      <c r="H28" s="124">
        <v>150</v>
      </c>
      <c r="I28" s="131">
        <f>IF(F28&gt;=E28*95%,H28*F28,0)</f>
        <v>42969300</v>
      </c>
      <c r="J28" s="133">
        <f>Table19[[#This Row],[Sản Lượng]]</f>
        <v>286462</v>
      </c>
      <c r="K28" s="130">
        <v>300</v>
      </c>
      <c r="L28" s="131">
        <f>K28*J28</f>
        <v>85938600</v>
      </c>
      <c r="M28" s="125"/>
      <c r="N28" s="125"/>
      <c r="O28" s="134">
        <f>N28+M28+L28+I28</f>
        <v>128907900</v>
      </c>
    </row>
    <row r="29" spans="1:15" s="129" customFormat="1" ht="18.75" customHeight="1" x14ac:dyDescent="0.35">
      <c r="A29" s="123">
        <f t="shared" si="4"/>
        <v>8</v>
      </c>
      <c r="B29" s="124" t="s">
        <v>25</v>
      </c>
      <c r="C29" s="130" t="s">
        <v>134</v>
      </c>
      <c r="D29" s="130" t="s">
        <v>45</v>
      </c>
      <c r="E29" s="131">
        <v>80000</v>
      </c>
      <c r="F29" s="131">
        <v>38842</v>
      </c>
      <c r="G29" s="132">
        <f t="shared" si="1"/>
        <v>0.48552499999999998</v>
      </c>
      <c r="H29" s="124">
        <v>150</v>
      </c>
      <c r="I29" s="131">
        <f t="shared" si="5"/>
        <v>0</v>
      </c>
      <c r="J29" s="133">
        <f>Table19[[#This Row],[Sản Lượng]]</f>
        <v>38842</v>
      </c>
      <c r="K29" s="130">
        <v>500</v>
      </c>
      <c r="L29" s="131">
        <f t="shared" si="2"/>
        <v>19421000</v>
      </c>
      <c r="M29" s="125">
        <v>0</v>
      </c>
      <c r="N29" s="125">
        <v>0</v>
      </c>
      <c r="O29" s="134">
        <f t="shared" si="3"/>
        <v>19421000</v>
      </c>
    </row>
    <row r="30" spans="1:15" s="129" customFormat="1" ht="18.75" customHeight="1" x14ac:dyDescent="0.35">
      <c r="A30" s="135"/>
      <c r="B30" s="136"/>
      <c r="C30" s="136"/>
      <c r="D30" s="136"/>
      <c r="E30" s="137"/>
      <c r="F30" s="154">
        <f>SUM(F22:F29)</f>
        <v>712935</v>
      </c>
      <c r="G30" s="138"/>
      <c r="H30" s="136"/>
      <c r="I30" s="137">
        <f>IF(F30&gt;=E30*95%,H30*F30,0)</f>
        <v>0</v>
      </c>
      <c r="J30" s="139">
        <f>Table19[[#This Row],[Sản Lượng]]</f>
        <v>712935</v>
      </c>
      <c r="K30" s="136"/>
      <c r="L30" s="137">
        <f>K30*J30</f>
        <v>0</v>
      </c>
      <c r="M30" s="137"/>
      <c r="N30" s="137"/>
      <c r="O30" s="140">
        <f>SUM(O22:O29)</f>
        <v>379526700</v>
      </c>
    </row>
    <row r="31" spans="1:15" s="129" customFormat="1" ht="18.75" customHeight="1" x14ac:dyDescent="0.35">
      <c r="A31" s="123">
        <f>ROW()-28</f>
        <v>3</v>
      </c>
      <c r="B31" s="124" t="s">
        <v>65</v>
      </c>
      <c r="C31" s="124" t="s">
        <v>140</v>
      </c>
      <c r="D31" s="124" t="s">
        <v>59</v>
      </c>
      <c r="E31" s="125">
        <v>20000</v>
      </c>
      <c r="F31" s="125">
        <v>7846</v>
      </c>
      <c r="G31" s="126">
        <f>F31/E31</f>
        <v>0.39229999999999998</v>
      </c>
      <c r="H31" s="124">
        <v>150</v>
      </c>
      <c r="I31" s="141">
        <f>IF(F31&gt;=E31*95%,H31*F31,0)</f>
        <v>0</v>
      </c>
      <c r="J31" s="127">
        <v>7846</v>
      </c>
      <c r="K31" s="124">
        <v>400</v>
      </c>
      <c r="L31" s="142">
        <f>K31*J31</f>
        <v>3138400</v>
      </c>
      <c r="M31" s="125">
        <v>10000000</v>
      </c>
      <c r="N31" s="125">
        <v>5000000</v>
      </c>
      <c r="O31" s="125">
        <f>N31+M31+L31+I31</f>
        <v>18138400</v>
      </c>
    </row>
    <row r="32" spans="1:15" s="129" customFormat="1" x14ac:dyDescent="0.35">
      <c r="A32" s="123">
        <f>ROW()-28</f>
        <v>4</v>
      </c>
      <c r="B32" s="124" t="s">
        <v>65</v>
      </c>
      <c r="C32" s="124" t="s">
        <v>142</v>
      </c>
      <c r="D32" s="124" t="s">
        <v>41</v>
      </c>
      <c r="E32" s="125">
        <v>25000</v>
      </c>
      <c r="F32" s="125">
        <v>27077</v>
      </c>
      <c r="G32" s="126">
        <f>F32/E32</f>
        <v>1.08308</v>
      </c>
      <c r="H32" s="124">
        <v>150</v>
      </c>
      <c r="I32" s="141">
        <f>IF(F32&gt;=E32*95%,H32*F32,0)</f>
        <v>4061550</v>
      </c>
      <c r="J32" s="127">
        <v>0</v>
      </c>
      <c r="K32" s="245">
        <v>0</v>
      </c>
      <c r="L32" s="142">
        <f t="shared" ref="L32" si="6">K32*J32</f>
        <v>0</v>
      </c>
      <c r="M32" s="125">
        <v>10000000</v>
      </c>
      <c r="N32" s="125">
        <v>5000000</v>
      </c>
      <c r="O32" s="125">
        <f>N32+M32+L32+I32</f>
        <v>19061550</v>
      </c>
    </row>
    <row r="33" spans="1:15" s="129" customFormat="1" x14ac:dyDescent="0.35">
      <c r="A33" s="143"/>
      <c r="B33" s="144"/>
      <c r="C33" s="144"/>
      <c r="D33" s="144"/>
      <c r="E33" s="145"/>
      <c r="F33" s="145">
        <f>F32+F31</f>
        <v>34923</v>
      </c>
      <c r="G33" s="146"/>
      <c r="H33" s="144"/>
      <c r="I33" s="147"/>
      <c r="J33" s="148"/>
      <c r="K33" s="144"/>
      <c r="L33" s="149"/>
      <c r="M33" s="145"/>
      <c r="N33" s="145"/>
      <c r="O33" s="150">
        <f>SUM(O31:O32)</f>
        <v>37199950</v>
      </c>
    </row>
    <row r="34" spans="1:15" s="80" customFormat="1" ht="18" x14ac:dyDescent="0.3">
      <c r="A34" s="123">
        <f>ROW()-31</f>
        <v>3</v>
      </c>
      <c r="B34" s="124" t="s">
        <v>64</v>
      </c>
      <c r="C34" s="124" t="s">
        <v>144</v>
      </c>
      <c r="D34" s="124" t="s">
        <v>36</v>
      </c>
      <c r="E34" s="125">
        <v>100000</v>
      </c>
      <c r="F34" s="125">
        <v>103225</v>
      </c>
      <c r="G34" s="126">
        <f>F34/E34</f>
        <v>1.0322499999999999</v>
      </c>
      <c r="H34" s="124">
        <v>150</v>
      </c>
      <c r="I34" s="125">
        <f>IF(F34&gt;=E34*95%,H34*F34,0)</f>
        <v>15483750</v>
      </c>
      <c r="J34" s="127">
        <f>Table19[[#This Row],[Sản Lượng]]</f>
        <v>103225</v>
      </c>
      <c r="K34" s="124">
        <v>300</v>
      </c>
      <c r="L34" s="125">
        <f>K34*J34</f>
        <v>30967500</v>
      </c>
      <c r="M34" s="125">
        <v>0</v>
      </c>
      <c r="N34" s="125">
        <v>0</v>
      </c>
      <c r="O34" s="128">
        <f>N34+M34+L34+I34</f>
        <v>46451250</v>
      </c>
    </row>
    <row r="35" spans="1:15" ht="17.5" x14ac:dyDescent="0.35">
      <c r="A35" s="143"/>
      <c r="B35" s="144"/>
      <c r="C35" s="144"/>
      <c r="D35" s="144"/>
      <c r="E35" s="145"/>
      <c r="F35" s="145">
        <f>F34</f>
        <v>103225</v>
      </c>
      <c r="G35" s="146"/>
      <c r="H35" s="144"/>
      <c r="I35" s="145">
        <f>IF(F35&gt;=E35*95%,H35*F35,0)</f>
        <v>0</v>
      </c>
      <c r="J35" s="148">
        <f>Table19[[#This Row],[Sản Lượng]]</f>
        <v>103225</v>
      </c>
      <c r="K35" s="144"/>
      <c r="L35" s="145">
        <f>K35*J35</f>
        <v>0</v>
      </c>
      <c r="M35" s="145"/>
      <c r="N35" s="145"/>
      <c r="O35" s="151">
        <f>O34</f>
        <v>46451250</v>
      </c>
    </row>
    <row r="36" spans="1:15" ht="17.5" x14ac:dyDescent="0.35">
      <c r="A36" s="152"/>
      <c r="B36" s="153"/>
      <c r="C36" s="153"/>
      <c r="D36" s="153"/>
      <c r="E36" s="154">
        <f>SUM(E31:E35)</f>
        <v>145000</v>
      </c>
      <c r="F36" s="154">
        <f>SUM(F31:F35)</f>
        <v>276296</v>
      </c>
      <c r="G36" s="155">
        <f>Table19[[#This Row],[Sản Lượng]]/Table19[[#This Row],[Chỉ Tiêu]]</f>
        <v>1.9054896551724139</v>
      </c>
      <c r="H36" s="153"/>
      <c r="I36" s="154">
        <f>SUM(I31:I35)</f>
        <v>19545300</v>
      </c>
      <c r="J36" s="154">
        <f>SUM(J31:J35)</f>
        <v>214296</v>
      </c>
      <c r="K36" s="153"/>
      <c r="L36" s="154">
        <f>SUM(L31:L35)</f>
        <v>34105900</v>
      </c>
      <c r="M36" s="154">
        <f>SUM(M31:M35)</f>
        <v>20000000</v>
      </c>
      <c r="N36" s="154">
        <f>SUM(N31:N35)</f>
        <v>10000000</v>
      </c>
      <c r="O36" s="140">
        <f>O30+O35+O33</f>
        <v>463177900</v>
      </c>
    </row>
    <row r="37" spans="1:15" ht="21.65" customHeight="1" x14ac:dyDescent="0.35"/>
    <row r="38" spans="1:15" ht="21.65" customHeight="1" x14ac:dyDescent="0.35">
      <c r="A38" s="80" t="s">
        <v>224</v>
      </c>
      <c r="B38" s="80"/>
      <c r="J38" s="156"/>
      <c r="K38" s="157"/>
    </row>
    <row r="39" spans="1:15" ht="21.65" customHeight="1" x14ac:dyDescent="0.35">
      <c r="A39" s="158" t="s">
        <v>19</v>
      </c>
      <c r="B39" s="158" t="s">
        <v>123</v>
      </c>
      <c r="C39" s="159" t="s">
        <v>225</v>
      </c>
      <c r="D39" s="158" t="s">
        <v>226</v>
      </c>
      <c r="E39" s="158" t="s">
        <v>177</v>
      </c>
    </row>
    <row r="40" spans="1:15" ht="21.65" customHeight="1" x14ac:dyDescent="0.35">
      <c r="A40" s="160">
        <v>1</v>
      </c>
      <c r="B40" s="101" t="s">
        <v>193</v>
      </c>
      <c r="C40" s="102">
        <v>777722</v>
      </c>
      <c r="D40" s="161">
        <f>O30</f>
        <v>379526700</v>
      </c>
      <c r="E40" s="105">
        <f>O30/C40</f>
        <v>487.99789642057186</v>
      </c>
    </row>
    <row r="41" spans="1:15" ht="21.65" customHeight="1" x14ac:dyDescent="0.35">
      <c r="A41" s="160">
        <v>2</v>
      </c>
      <c r="B41" s="101" t="s">
        <v>194</v>
      </c>
      <c r="C41" s="102">
        <v>513461</v>
      </c>
      <c r="D41" s="161">
        <f>O33</f>
        <v>37199950</v>
      </c>
      <c r="E41" s="105">
        <f>O33/C41</f>
        <v>72.449416800886539</v>
      </c>
    </row>
    <row r="42" spans="1:15" x14ac:dyDescent="0.35">
      <c r="A42" s="160">
        <v>3</v>
      </c>
      <c r="B42" s="101" t="s">
        <v>64</v>
      </c>
      <c r="C42" s="102">
        <v>580272</v>
      </c>
      <c r="D42" s="161">
        <f>O35</f>
        <v>46451250</v>
      </c>
      <c r="E42" s="105">
        <f>O35/C42</f>
        <v>80.050820994292337</v>
      </c>
    </row>
    <row r="43" spans="1:15" ht="17.5" x14ac:dyDescent="0.35">
      <c r="A43" s="162" t="s">
        <v>197</v>
      </c>
      <c r="B43" s="162" t="s">
        <v>198</v>
      </c>
      <c r="C43" s="163">
        <f>SUM(C40:C42)</f>
        <v>1871455</v>
      </c>
      <c r="D43" s="164">
        <f>SUM(D40:D42)</f>
        <v>463177900</v>
      </c>
      <c r="E43" s="165">
        <f>D43/C43</f>
        <v>247.49614604679246</v>
      </c>
    </row>
  </sheetData>
  <mergeCells count="2">
    <mergeCell ref="A1:B2"/>
    <mergeCell ref="C1:O2"/>
  </mergeCells>
  <pageMargins left="0.7" right="0.7" top="0.75" bottom="0.75" header="0.3" footer="0.3"/>
  <pageSetup scale="47" orientation="landscape" r:id="rId1"/>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1FF03-A510-4CFB-B288-6BF1CE0D4271}">
  <dimension ref="B1:D19"/>
  <sheetViews>
    <sheetView workbookViewId="0">
      <selection activeCell="D5" sqref="D5"/>
    </sheetView>
  </sheetViews>
  <sheetFormatPr defaultRowHeight="14.5" x14ac:dyDescent="0.35"/>
  <cols>
    <col min="2" max="2" width="17.6328125" bestFit="1" customWidth="1"/>
    <col min="4" max="4" width="107.26953125" customWidth="1"/>
  </cols>
  <sheetData>
    <row r="1" spans="2:4" x14ac:dyDescent="0.35">
      <c r="D1" t="s">
        <v>87</v>
      </c>
    </row>
    <row r="3" spans="2:4" x14ac:dyDescent="0.35">
      <c r="B3" s="1" t="s">
        <v>105</v>
      </c>
      <c r="C3" s="1"/>
      <c r="D3" s="1"/>
    </row>
    <row r="4" spans="2:4" ht="43.5" x14ac:dyDescent="0.35">
      <c r="B4" s="1" t="s">
        <v>110</v>
      </c>
      <c r="C4" s="1" t="s">
        <v>106</v>
      </c>
      <c r="D4" s="42" t="s">
        <v>114</v>
      </c>
    </row>
    <row r="5" spans="2:4" ht="116" x14ac:dyDescent="0.35">
      <c r="B5" s="1" t="s">
        <v>111</v>
      </c>
      <c r="C5" s="1" t="s">
        <v>112</v>
      </c>
      <c r="D5" s="42" t="s">
        <v>113</v>
      </c>
    </row>
    <row r="6" spans="2:4" ht="72.5" x14ac:dyDescent="0.35">
      <c r="B6" s="1" t="s">
        <v>115</v>
      </c>
      <c r="C6" s="1" t="s">
        <v>107</v>
      </c>
      <c r="D6" s="42" t="s">
        <v>116</v>
      </c>
    </row>
    <row r="7" spans="2:4" ht="43.5" x14ac:dyDescent="0.35">
      <c r="B7" s="1" t="s">
        <v>117</v>
      </c>
      <c r="C7" s="1" t="s">
        <v>118</v>
      </c>
      <c r="D7" s="42" t="s">
        <v>119</v>
      </c>
    </row>
    <row r="8" spans="2:4" ht="29" x14ac:dyDescent="0.35">
      <c r="B8" s="1" t="s">
        <v>120</v>
      </c>
      <c r="C8" s="1" t="s">
        <v>121</v>
      </c>
      <c r="D8" s="42" t="s">
        <v>122</v>
      </c>
    </row>
    <row r="9" spans="2:4" x14ac:dyDescent="0.35">
      <c r="B9" s="1" t="s">
        <v>108</v>
      </c>
      <c r="C9" s="1" t="s">
        <v>109</v>
      </c>
      <c r="D9" s="1"/>
    </row>
    <row r="16" spans="2:4" x14ac:dyDescent="0.35">
      <c r="D16" s="2" t="s">
        <v>104</v>
      </c>
    </row>
    <row r="17" spans="4:4" x14ac:dyDescent="0.35">
      <c r="D17" s="2" t="s">
        <v>101</v>
      </c>
    </row>
    <row r="18" spans="4:4" x14ac:dyDescent="0.35">
      <c r="D18" s="2" t="s">
        <v>102</v>
      </c>
    </row>
    <row r="19" spans="4:4" x14ac:dyDescent="0.35">
      <c r="D19" s="2" t="s">
        <v>103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7DB301-583F-4734-BE60-A6A3184209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DM</vt:lpstr>
      <vt:lpstr>I. TỔNG HỢP</vt:lpstr>
      <vt:lpstr>1. CS Hỗ trợ vận chuyển</vt:lpstr>
      <vt:lpstr>2.1. Thưởng NCC - ver1</vt:lpstr>
      <vt:lpstr>2.2 Thưởng NCC - ver2</vt:lpstr>
      <vt:lpstr>3. DS NCC Trạm</vt:lpstr>
      <vt:lpstr>Bảng tính T2</vt:lpstr>
      <vt:lpstr>Bảng tính T1</vt:lpstr>
      <vt:lpstr>Tóm tắt</vt:lpstr>
      <vt:lpstr>'Bảng tính T1'!Print_Area</vt:lpstr>
      <vt:lpstr>'Bảng tính T2'!Print_Area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Huyền, Lữ Ngọc Mỹ</dc:creator>
  <cp:lastModifiedBy>Huyền, Lữ Ngọc Mỹ</cp:lastModifiedBy>
  <cp:lastPrinted>2026-03-17T06:55:44Z</cp:lastPrinted>
  <dcterms:created xsi:type="dcterms:W3CDTF">2026-03-16T06:38:27Z</dcterms:created>
  <dcterms:modified xsi:type="dcterms:W3CDTF">2026-05-14T09:11:08Z</dcterms:modified>
</cp:coreProperties>
</file>