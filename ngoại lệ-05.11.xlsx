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ungocmyhuyen_duytanrecycling_com/Documents/00. MY HUYEN/3. GIÁ MUA/"/>
    </mc:Choice>
  </mc:AlternateContent>
  <xr:revisionPtr revIDLastSave="1005" documentId="8_{B32E06AC-503D-436E-B6D3-AB6C95586220}" xr6:coauthVersionLast="47" xr6:coauthVersionMax="47" xr10:uidLastSave="{961CC54B-04EF-4987-A2BE-4ECF107CA3D2}"/>
  <bookViews>
    <workbookView xWindow="-110" yWindow="-110" windowWidth="19420" windowHeight="10300" xr2:uid="{49F96AFB-61C7-48B7-B006-748ADFF6AD94}"/>
  </bookViews>
  <sheets>
    <sheet name="Thống kê chính sách" sheetId="1" r:id="rId1"/>
    <sheet name="CS" sheetId="2" r:id="rId2"/>
  </sheets>
  <definedNames>
    <definedName name="_xlnm._FilterDatabase" localSheetId="0" hidden="1">'Thống kê chính sách'!$D$2:$U$82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2" i="1" l="1" a="1"/>
  <c r="N72" i="1" s="1"/>
  <c r="O72" i="1" s="1"/>
  <c r="L72" i="1" a="1"/>
  <c r="L72" i="1" s="1"/>
  <c r="M72" i="1" s="1"/>
  <c r="K72" i="1"/>
  <c r="R72" i="1" s="1"/>
  <c r="W72" i="1" s="1"/>
  <c r="N71" i="1" a="1"/>
  <c r="N71" i="1" s="1"/>
  <c r="O71" i="1" s="1"/>
  <c r="L71" i="1" a="1"/>
  <c r="L71" i="1" s="1"/>
  <c r="M71" i="1" s="1"/>
  <c r="K71" i="1"/>
  <c r="R71" i="1" s="1"/>
  <c r="W71" i="1" s="1"/>
  <c r="N70" i="1" a="1"/>
  <c r="N70" i="1" s="1"/>
  <c r="O70" i="1" s="1"/>
  <c r="L70" i="1" a="1"/>
  <c r="L70" i="1" s="1"/>
  <c r="M70" i="1" s="1"/>
  <c r="K70" i="1"/>
  <c r="R70" i="1" s="1"/>
  <c r="W70" i="1" s="1"/>
  <c r="N69" i="1" a="1"/>
  <c r="N69" i="1" s="1"/>
  <c r="O69" i="1" s="1"/>
  <c r="L69" i="1" a="1"/>
  <c r="L69" i="1" s="1"/>
  <c r="M69" i="1" s="1"/>
  <c r="K69" i="1"/>
  <c r="R69" i="1" s="1"/>
  <c r="W69" i="1" s="1"/>
  <c r="N68" i="1" a="1"/>
  <c r="N68" i="1" s="1"/>
  <c r="O68" i="1" s="1"/>
  <c r="L68" i="1" a="1"/>
  <c r="L68" i="1" s="1"/>
  <c r="M68" i="1" s="1"/>
  <c r="K68" i="1"/>
  <c r="R68" i="1" s="1"/>
  <c r="W68" i="1" s="1"/>
  <c r="R65" i="1"/>
  <c r="K73" i="1"/>
  <c r="R73" i="1" s="1"/>
  <c r="K74" i="1"/>
  <c r="R74" i="1" s="1"/>
  <c r="K75" i="1"/>
  <c r="R75" i="1" s="1"/>
  <c r="K76" i="1"/>
  <c r="R76" i="1" s="1"/>
  <c r="K77" i="1"/>
  <c r="R77" i="1" s="1"/>
  <c r="K78" i="1"/>
  <c r="R78" i="1" s="1"/>
  <c r="K79" i="1"/>
  <c r="R79" i="1" s="1"/>
  <c r="K80" i="1"/>
  <c r="R80" i="1" s="1"/>
  <c r="K81" i="1"/>
  <c r="R81" i="1" s="1"/>
  <c r="K82" i="1"/>
  <c r="R82" i="1" s="1"/>
  <c r="K65" i="1"/>
  <c r="K66" i="1"/>
  <c r="R66" i="1" s="1"/>
  <c r="K67" i="1"/>
  <c r="R67" i="1" s="1"/>
  <c r="K64" i="1"/>
  <c r="R64" i="1" s="1"/>
  <c r="N63" i="1" a="1"/>
  <c r="N63" i="1" s="1"/>
  <c r="O63" i="1" s="1"/>
  <c r="L63" i="1" a="1"/>
  <c r="L63" i="1" s="1"/>
  <c r="M63" i="1" s="1"/>
  <c r="K63" i="1"/>
  <c r="R63" i="1" s="1"/>
  <c r="W63" i="1" s="1"/>
  <c r="N62" i="1" a="1"/>
  <c r="N62" i="1" s="1"/>
  <c r="O62" i="1" s="1"/>
  <c r="L62" i="1" a="1"/>
  <c r="L62" i="1" s="1"/>
  <c r="M62" i="1" s="1"/>
  <c r="K62" i="1"/>
  <c r="R62" i="1" s="1"/>
  <c r="W62" i="1" s="1"/>
  <c r="N61" i="1" a="1"/>
  <c r="N61" i="1" s="1"/>
  <c r="O61" i="1" s="1"/>
  <c r="L61" i="1" a="1"/>
  <c r="L61" i="1" s="1"/>
  <c r="M61" i="1" s="1"/>
  <c r="K61" i="1"/>
  <c r="R61" i="1" s="1"/>
  <c r="W61" i="1" s="1"/>
  <c r="N60" i="1" a="1"/>
  <c r="N60" i="1" s="1"/>
  <c r="O60" i="1" s="1"/>
  <c r="L60" i="1" a="1"/>
  <c r="L60" i="1" s="1"/>
  <c r="M60" i="1" s="1"/>
  <c r="K60" i="1"/>
  <c r="R60" i="1" s="1"/>
  <c r="W60" i="1" s="1"/>
  <c r="N59" i="1" a="1"/>
  <c r="N59" i="1" s="1"/>
  <c r="O59" i="1" s="1"/>
  <c r="L59" i="1" a="1"/>
  <c r="L59" i="1" s="1"/>
  <c r="M59" i="1" s="1"/>
  <c r="K59" i="1"/>
  <c r="R59" i="1" s="1"/>
  <c r="W59" i="1" s="1"/>
  <c r="N58" i="1" a="1"/>
  <c r="N58" i="1" s="1"/>
  <c r="O58" i="1" s="1"/>
  <c r="L58" i="1" a="1"/>
  <c r="L58" i="1" s="1"/>
  <c r="M58" i="1" s="1"/>
  <c r="K58" i="1"/>
  <c r="R58" i="1" s="1"/>
  <c r="W58" i="1" s="1"/>
  <c r="N57" i="1" a="1"/>
  <c r="N57" i="1" s="1"/>
  <c r="O57" i="1" s="1"/>
  <c r="L57" i="1" a="1"/>
  <c r="L57" i="1" s="1"/>
  <c r="M57" i="1" s="1"/>
  <c r="K57" i="1"/>
  <c r="R57" i="1" s="1"/>
  <c r="W57" i="1" s="1"/>
  <c r="N56" i="1" a="1"/>
  <c r="N56" i="1" s="1"/>
  <c r="O56" i="1" s="1"/>
  <c r="L56" i="1" a="1"/>
  <c r="L56" i="1" s="1"/>
  <c r="M56" i="1" s="1"/>
  <c r="K56" i="1"/>
  <c r="R56" i="1" s="1"/>
  <c r="W56" i="1" s="1"/>
  <c r="N55" i="1" a="1"/>
  <c r="N55" i="1" s="1"/>
  <c r="O55" i="1" s="1"/>
  <c r="L55" i="1" a="1"/>
  <c r="L55" i="1" s="1"/>
  <c r="M55" i="1" s="1"/>
  <c r="K55" i="1"/>
  <c r="R55" i="1" s="1"/>
  <c r="W55" i="1" s="1"/>
  <c r="N54" i="1" a="1"/>
  <c r="N54" i="1" s="1"/>
  <c r="O54" i="1" s="1"/>
  <c r="L54" i="1" a="1"/>
  <c r="L54" i="1" s="1"/>
  <c r="M54" i="1" s="1"/>
  <c r="K54" i="1"/>
  <c r="R54" i="1" s="1"/>
  <c r="W54" i="1" s="1"/>
  <c r="N53" i="1" l="1" a="1"/>
  <c r="N53" i="1" s="1"/>
  <c r="O53" i="1" s="1"/>
  <c r="L53" i="1" a="1"/>
  <c r="L53" i="1" s="1"/>
  <c r="M53" i="1" s="1"/>
  <c r="K53" i="1"/>
  <c r="R53" i="1" s="1"/>
  <c r="W53" i="1" s="1"/>
  <c r="N52" i="1" l="1" a="1"/>
  <c r="N52" i="1" s="1"/>
  <c r="O52" i="1" s="1"/>
  <c r="L52" i="1" a="1"/>
  <c r="L52" i="1" s="1"/>
  <c r="M52" i="1" s="1"/>
  <c r="K52" i="1"/>
  <c r="R52" i="1" s="1"/>
  <c r="W52" i="1" s="1"/>
  <c r="N51" i="1" a="1"/>
  <c r="N51" i="1" s="1"/>
  <c r="O51" i="1" s="1"/>
  <c r="L51" i="1" a="1"/>
  <c r="L51" i="1" s="1"/>
  <c r="M51" i="1" s="1"/>
  <c r="K51" i="1"/>
  <c r="R51" i="1" s="1"/>
  <c r="W51" i="1" s="1"/>
  <c r="N50" i="1" a="1"/>
  <c r="N50" i="1" s="1"/>
  <c r="O50" i="1" s="1"/>
  <c r="L50" i="1" a="1"/>
  <c r="L50" i="1" s="1"/>
  <c r="M50" i="1" s="1"/>
  <c r="K50" i="1"/>
  <c r="R50" i="1" s="1"/>
  <c r="W50" i="1" s="1"/>
  <c r="N47" i="1" l="1" a="1"/>
  <c r="N47" i="1" s="1"/>
  <c r="O47" i="1" s="1"/>
  <c r="L47" i="1" a="1"/>
  <c r="L47" i="1" s="1"/>
  <c r="M47" i="1" s="1"/>
  <c r="K47" i="1"/>
  <c r="R47" i="1" s="1"/>
  <c r="W47" i="1" s="1"/>
  <c r="N43" i="1" a="1"/>
  <c r="N43" i="1" s="1"/>
  <c r="O43" i="1" s="1"/>
  <c r="N48" i="1" a="1"/>
  <c r="N48" i="1" s="1"/>
  <c r="O48" i="1" s="1"/>
  <c r="N49" i="1" a="1"/>
  <c r="N49" i="1" s="1"/>
  <c r="O49" i="1" s="1"/>
  <c r="L49" i="1" a="1"/>
  <c r="L49" i="1" s="1"/>
  <c r="M49" i="1" s="1"/>
  <c r="K49" i="1"/>
  <c r="R49" i="1" s="1"/>
  <c r="W49" i="1" s="1"/>
  <c r="L48" i="1" a="1"/>
  <c r="L48" i="1" s="1"/>
  <c r="M48" i="1" s="1"/>
  <c r="K48" i="1"/>
  <c r="R48" i="1" s="1"/>
  <c r="W48" i="1" s="1"/>
  <c r="N46" i="1" a="1"/>
  <c r="N46" i="1" s="1"/>
  <c r="O46" i="1" s="1"/>
  <c r="L46" i="1" a="1"/>
  <c r="L46" i="1" s="1"/>
  <c r="M46" i="1" s="1"/>
  <c r="K46" i="1"/>
  <c r="R46" i="1" s="1"/>
  <c r="W46" i="1" s="1"/>
  <c r="N45" i="1" a="1"/>
  <c r="N45" i="1" s="1"/>
  <c r="O45" i="1" s="1"/>
  <c r="L45" i="1" a="1"/>
  <c r="L45" i="1" s="1"/>
  <c r="M45" i="1" s="1"/>
  <c r="K45" i="1"/>
  <c r="R45" i="1" s="1"/>
  <c r="W45" i="1" s="1"/>
  <c r="N82" i="1" a="1"/>
  <c r="N82" i="1" s="1"/>
  <c r="O82" i="1" s="1"/>
  <c r="L82" i="1" a="1"/>
  <c r="L82" i="1" s="1"/>
  <c r="M82" i="1" s="1"/>
  <c r="N81" i="1" a="1"/>
  <c r="N81" i="1" s="1"/>
  <c r="O81" i="1" s="1"/>
  <c r="L81" i="1" a="1"/>
  <c r="L81" i="1" s="1"/>
  <c r="M81" i="1" s="1"/>
  <c r="N80" i="1" a="1"/>
  <c r="N80" i="1" s="1"/>
  <c r="O80" i="1" s="1"/>
  <c r="L80" i="1" a="1"/>
  <c r="L80" i="1" s="1"/>
  <c r="M80" i="1" s="1"/>
  <c r="N79" i="1" a="1"/>
  <c r="N79" i="1" s="1"/>
  <c r="O79" i="1" s="1"/>
  <c r="L79" i="1" a="1"/>
  <c r="L79" i="1" s="1"/>
  <c r="M79" i="1" s="1"/>
  <c r="N78" i="1" a="1"/>
  <c r="N78" i="1" s="1"/>
  <c r="O78" i="1" s="1"/>
  <c r="L78" i="1" a="1"/>
  <c r="L78" i="1" s="1"/>
  <c r="M78" i="1" s="1"/>
  <c r="N77" i="1" a="1"/>
  <c r="N77" i="1" s="1"/>
  <c r="O77" i="1" s="1"/>
  <c r="L77" i="1" a="1"/>
  <c r="L77" i="1" s="1"/>
  <c r="M77" i="1" s="1"/>
  <c r="N76" i="1" a="1"/>
  <c r="N76" i="1" s="1"/>
  <c r="O76" i="1" s="1"/>
  <c r="L76" i="1" a="1"/>
  <c r="L76" i="1" s="1"/>
  <c r="M76" i="1" s="1"/>
  <c r="N75" i="1" a="1"/>
  <c r="N75" i="1" s="1"/>
  <c r="O75" i="1" s="1"/>
  <c r="L75" i="1" a="1"/>
  <c r="L75" i="1" s="1"/>
  <c r="M75" i="1" s="1"/>
  <c r="N74" i="1" a="1"/>
  <c r="N74" i="1" s="1"/>
  <c r="O74" i="1" s="1"/>
  <c r="L74" i="1" a="1"/>
  <c r="L74" i="1" s="1"/>
  <c r="M74" i="1" s="1"/>
  <c r="N73" i="1" a="1"/>
  <c r="N73" i="1" s="1"/>
  <c r="O73" i="1" s="1"/>
  <c r="L73" i="1" a="1"/>
  <c r="L73" i="1" s="1"/>
  <c r="M73" i="1" s="1"/>
  <c r="N67" i="1" a="1"/>
  <c r="N67" i="1" s="1"/>
  <c r="O67" i="1" s="1"/>
  <c r="L67" i="1" a="1"/>
  <c r="L67" i="1" s="1"/>
  <c r="M67" i="1" s="1"/>
  <c r="N66" i="1" a="1"/>
  <c r="N66" i="1" s="1"/>
  <c r="O66" i="1" s="1"/>
  <c r="L66" i="1" a="1"/>
  <c r="L66" i="1" s="1"/>
  <c r="M66" i="1" s="1"/>
  <c r="N65" i="1" a="1"/>
  <c r="N65" i="1" s="1"/>
  <c r="O65" i="1" s="1"/>
  <c r="L65" i="1" a="1"/>
  <c r="L65" i="1" s="1"/>
  <c r="M65" i="1" s="1"/>
  <c r="N64" i="1" a="1"/>
  <c r="N64" i="1" s="1"/>
  <c r="O64" i="1" s="1"/>
  <c r="L64" i="1" a="1"/>
  <c r="L64" i="1" s="1"/>
  <c r="M64" i="1" s="1"/>
  <c r="N44" i="1" a="1"/>
  <c r="N44" i="1" s="1"/>
  <c r="O44" i="1" s="1"/>
  <c r="L44" i="1" a="1"/>
  <c r="L44" i="1" s="1"/>
  <c r="M44" i="1" s="1"/>
  <c r="K44" i="1"/>
  <c r="R44" i="1" s="1"/>
  <c r="W44" i="1" s="1"/>
  <c r="Q36" i="1" l="1"/>
  <c r="N36" i="1" l="1" a="1"/>
  <c r="N36" i="1" s="1"/>
  <c r="O36" i="1" s="1"/>
  <c r="L36" i="1" a="1"/>
  <c r="L36" i="1" s="1"/>
  <c r="M36" i="1" s="1"/>
  <c r="K36" i="1"/>
  <c r="R36" i="1" s="1"/>
  <c r="W36" i="1" s="1"/>
  <c r="N35" i="1" l="1" a="1"/>
  <c r="N35" i="1" s="1"/>
  <c r="O35" i="1" s="1"/>
  <c r="L35" i="1" a="1"/>
  <c r="L35" i="1" s="1"/>
  <c r="M35" i="1" s="1"/>
  <c r="K35" i="1"/>
  <c r="R35" i="1" s="1"/>
  <c r="W35" i="1" s="1"/>
  <c r="L43" i="1" a="1"/>
  <c r="L43" i="1" s="1"/>
  <c r="M43" i="1" s="1"/>
  <c r="K43" i="1"/>
  <c r="R43" i="1" s="1"/>
  <c r="W43" i="1" s="1"/>
  <c r="N42" i="1" a="1"/>
  <c r="N42" i="1" s="1"/>
  <c r="O42" i="1" s="1"/>
  <c r="L42" i="1" a="1"/>
  <c r="L42" i="1" s="1"/>
  <c r="M42" i="1" s="1"/>
  <c r="K42" i="1"/>
  <c r="R42" i="1" s="1"/>
  <c r="W42" i="1" s="1"/>
  <c r="N41" i="1" a="1"/>
  <c r="N41" i="1" s="1"/>
  <c r="O41" i="1" s="1"/>
  <c r="L41" i="1" a="1"/>
  <c r="L41" i="1" s="1"/>
  <c r="M41" i="1" s="1"/>
  <c r="K41" i="1"/>
  <c r="R41" i="1" s="1"/>
  <c r="W41" i="1" s="1"/>
  <c r="N40" i="1" a="1"/>
  <c r="N40" i="1" s="1"/>
  <c r="O40" i="1" s="1"/>
  <c r="L40" i="1" a="1"/>
  <c r="L40" i="1" s="1"/>
  <c r="M40" i="1" s="1"/>
  <c r="K40" i="1"/>
  <c r="R40" i="1" s="1"/>
  <c r="W40" i="1" s="1"/>
  <c r="N39" i="1" a="1"/>
  <c r="N39" i="1" s="1"/>
  <c r="O39" i="1" s="1"/>
  <c r="L39" i="1" a="1"/>
  <c r="L39" i="1" s="1"/>
  <c r="M39" i="1" s="1"/>
  <c r="K39" i="1"/>
  <c r="R39" i="1" s="1"/>
  <c r="W39" i="1" s="1"/>
  <c r="L37" i="1" a="1"/>
  <c r="L37" i="1" s="1"/>
  <c r="L4" i="1" a="1"/>
  <c r="L4" i="1" s="1"/>
  <c r="K4" i="1"/>
  <c r="R4" i="1" s="1"/>
  <c r="K5" i="1"/>
  <c r="R5" i="1" s="1"/>
  <c r="K6" i="1"/>
  <c r="R6" i="1" s="1"/>
  <c r="K7" i="1"/>
  <c r="R7" i="1" s="1"/>
  <c r="K8" i="1"/>
  <c r="R8" i="1" s="1"/>
  <c r="W8" i="1" s="1"/>
  <c r="K9" i="1"/>
  <c r="R9" i="1" s="1"/>
  <c r="W9" i="1" s="1"/>
  <c r="K10" i="1"/>
  <c r="R10" i="1" s="1"/>
  <c r="W10" i="1" s="1"/>
  <c r="K11" i="1"/>
  <c r="R11" i="1" s="1"/>
  <c r="W11" i="1" s="1"/>
  <c r="K12" i="1"/>
  <c r="R12" i="1" s="1"/>
  <c r="W12" i="1" s="1"/>
  <c r="K13" i="1"/>
  <c r="R13" i="1" s="1"/>
  <c r="W13" i="1" s="1"/>
  <c r="K14" i="1"/>
  <c r="R14" i="1" s="1"/>
  <c r="W14" i="1" s="1"/>
  <c r="K15" i="1"/>
  <c r="R15" i="1" s="1"/>
  <c r="W15" i="1" s="1"/>
  <c r="K16" i="1"/>
  <c r="R16" i="1" s="1"/>
  <c r="W16" i="1" s="1"/>
  <c r="K17" i="1"/>
  <c r="R17" i="1" s="1"/>
  <c r="W17" i="1" s="1"/>
  <c r="K18" i="1"/>
  <c r="R18" i="1" s="1"/>
  <c r="W18" i="1" s="1"/>
  <c r="K19" i="1"/>
  <c r="R19" i="1" s="1"/>
  <c r="W19" i="1" s="1"/>
  <c r="K20" i="1"/>
  <c r="R20" i="1" s="1"/>
  <c r="W20" i="1" s="1"/>
  <c r="K21" i="1"/>
  <c r="R21" i="1" s="1"/>
  <c r="W21" i="1" s="1"/>
  <c r="K22" i="1"/>
  <c r="R22" i="1" s="1"/>
  <c r="W22" i="1" s="1"/>
  <c r="K24" i="1"/>
  <c r="R24" i="1" s="1"/>
  <c r="W24" i="1" s="1"/>
  <c r="K25" i="1"/>
  <c r="R25" i="1" s="1"/>
  <c r="W25" i="1" s="1"/>
  <c r="K26" i="1"/>
  <c r="R26" i="1" s="1"/>
  <c r="W26" i="1" s="1"/>
  <c r="K27" i="1"/>
  <c r="R27" i="1" s="1"/>
  <c r="W27" i="1" s="1"/>
  <c r="K28" i="1"/>
  <c r="R28" i="1" s="1"/>
  <c r="W28" i="1" s="1"/>
  <c r="K29" i="1"/>
  <c r="R29" i="1" s="1"/>
  <c r="W29" i="1" s="1"/>
  <c r="K30" i="1"/>
  <c r="R30" i="1" s="1"/>
  <c r="W30" i="1" s="1"/>
  <c r="K31" i="1"/>
  <c r="R31" i="1" s="1"/>
  <c r="W31" i="1" s="1"/>
  <c r="K32" i="1"/>
  <c r="R32" i="1" s="1"/>
  <c r="W32" i="1" s="1"/>
  <c r="K33" i="1"/>
  <c r="R33" i="1" s="1"/>
  <c r="W33" i="1" s="1"/>
  <c r="K34" i="1"/>
  <c r="R34" i="1" s="1"/>
  <c r="W34" i="1" s="1"/>
  <c r="K37" i="1"/>
  <c r="R37" i="1" s="1"/>
  <c r="W37" i="1" s="1"/>
  <c r="K3" i="1"/>
  <c r="R3" i="1" s="1"/>
  <c r="W3" i="1" s="1"/>
  <c r="N38" i="1" l="1" a="1"/>
  <c r="N38" i="1" s="1"/>
  <c r="O38" i="1" s="1"/>
  <c r="L38" i="1" a="1"/>
  <c r="L38" i="1" s="1"/>
  <c r="M38" i="1" s="1"/>
  <c r="N37" i="1" a="1"/>
  <c r="N37" i="1" s="1"/>
  <c r="O37" i="1" s="1"/>
  <c r="M37" i="1"/>
  <c r="N34" i="1" l="1" a="1"/>
  <c r="N34" i="1" s="1"/>
  <c r="O34" i="1" s="1"/>
  <c r="L34" i="1" a="1"/>
  <c r="L34" i="1" s="1"/>
  <c r="M34" i="1" s="1"/>
  <c r="N31" i="1" l="1" a="1"/>
  <c r="N31" i="1" s="1"/>
  <c r="O31" i="1" s="1"/>
  <c r="L31" i="1" a="1"/>
  <c r="L31" i="1" s="1"/>
  <c r="M31" i="1" s="1"/>
  <c r="N30" i="1" a="1"/>
  <c r="N30" i="1" s="1"/>
  <c r="O30" i="1" s="1"/>
  <c r="L30" i="1" a="1"/>
  <c r="L30" i="1" s="1"/>
  <c r="M30" i="1" s="1"/>
  <c r="N29" i="1" a="1"/>
  <c r="N29" i="1" s="1"/>
  <c r="O29" i="1" s="1"/>
  <c r="L29" i="1" a="1"/>
  <c r="L29" i="1" s="1"/>
  <c r="M29" i="1" s="1"/>
  <c r="N28" i="1" a="1"/>
  <c r="N28" i="1" s="1"/>
  <c r="O28" i="1" s="1"/>
  <c r="L28" i="1" a="1"/>
  <c r="L28" i="1" s="1"/>
  <c r="M28" i="1" s="1"/>
  <c r="N27" i="1" a="1"/>
  <c r="N27" i="1" s="1"/>
  <c r="O27" i="1" s="1"/>
  <c r="L27" i="1" a="1"/>
  <c r="L27" i="1" s="1"/>
  <c r="M27" i="1" s="1"/>
  <c r="N26" i="1" a="1"/>
  <c r="N26" i="1" s="1"/>
  <c r="O26" i="1" s="1"/>
  <c r="L26" i="1" a="1"/>
  <c r="L26" i="1" s="1"/>
  <c r="M26" i="1" s="1"/>
  <c r="N33" i="1" a="1"/>
  <c r="N33" i="1" s="1"/>
  <c r="O33" i="1" s="1"/>
  <c r="L33" i="1" a="1"/>
  <c r="L33" i="1" s="1"/>
  <c r="M33" i="1" s="1"/>
  <c r="N32" i="1" a="1"/>
  <c r="N32" i="1" s="1"/>
  <c r="O32" i="1" s="1"/>
  <c r="L32" i="1" a="1"/>
  <c r="L32" i="1" s="1"/>
  <c r="M32" i="1" s="1"/>
  <c r="N25" i="1" a="1"/>
  <c r="N25" i="1" s="1"/>
  <c r="O25" i="1" s="1"/>
  <c r="L25" i="1" a="1"/>
  <c r="L25" i="1" s="1"/>
  <c r="M25" i="1" s="1"/>
  <c r="N16" i="1" a="1"/>
  <c r="N16" i="1" s="1"/>
  <c r="O16" i="1" s="1"/>
  <c r="L16" i="1" a="1"/>
  <c r="L16" i="1" s="1"/>
  <c r="M16" i="1" s="1"/>
  <c r="J23" i="1"/>
  <c r="K23" i="1" s="1"/>
  <c r="R23" i="1" s="1"/>
  <c r="W23" i="1" s="1"/>
  <c r="N24" i="1" a="1"/>
  <c r="N24" i="1" s="1"/>
  <c r="O24" i="1" s="1"/>
  <c r="L24" i="1" a="1"/>
  <c r="L24" i="1" s="1"/>
  <c r="M24" i="1" s="1"/>
  <c r="N23" i="1" a="1"/>
  <c r="N23" i="1" s="1"/>
  <c r="O23" i="1" s="1"/>
  <c r="L23" i="1" a="1"/>
  <c r="L23" i="1" s="1"/>
  <c r="M23" i="1" s="1"/>
  <c r="N22" i="1" a="1"/>
  <c r="N22" i="1" s="1"/>
  <c r="O22" i="1" s="1"/>
  <c r="L22" i="1" a="1"/>
  <c r="L22" i="1" s="1"/>
  <c r="M22" i="1" s="1"/>
  <c r="N21" i="1" a="1"/>
  <c r="N21" i="1" s="1"/>
  <c r="O21" i="1" s="1"/>
  <c r="L21" i="1" a="1"/>
  <c r="L21" i="1" s="1"/>
  <c r="M21" i="1" s="1"/>
  <c r="N20" i="1" a="1"/>
  <c r="N20" i="1" s="1"/>
  <c r="O20" i="1" s="1"/>
  <c r="L20" i="1" a="1"/>
  <c r="L20" i="1" s="1"/>
  <c r="M20" i="1" s="1"/>
  <c r="N19" i="1" a="1"/>
  <c r="N19" i="1" s="1"/>
  <c r="O19" i="1" s="1"/>
  <c r="L19" i="1" a="1"/>
  <c r="L19" i="1" s="1"/>
  <c r="M19" i="1" s="1"/>
  <c r="N18" i="1" a="1"/>
  <c r="N18" i="1" s="1"/>
  <c r="O18" i="1" s="1"/>
  <c r="L18" i="1" a="1"/>
  <c r="L18" i="1" s="1"/>
  <c r="M18" i="1" s="1"/>
  <c r="N9" i="1" a="1"/>
  <c r="N9" i="1" s="1"/>
  <c r="O9" i="1" s="1"/>
  <c r="N10" i="1" a="1"/>
  <c r="N10" i="1" s="1"/>
  <c r="O10" i="1" s="1"/>
  <c r="N11" i="1" a="1"/>
  <c r="N11" i="1" s="1"/>
  <c r="O11" i="1" s="1"/>
  <c r="N12" i="1" a="1"/>
  <c r="N12" i="1" s="1"/>
  <c r="O12" i="1" s="1"/>
  <c r="N13" i="1" a="1"/>
  <c r="N13" i="1" s="1"/>
  <c r="O13" i="1" s="1"/>
  <c r="N14" i="1" a="1"/>
  <c r="N14" i="1" s="1"/>
  <c r="O14" i="1" s="1"/>
  <c r="L10" i="1" a="1"/>
  <c r="L10" i="1" s="1"/>
  <c r="M10" i="1" s="1"/>
  <c r="L11" i="1" a="1"/>
  <c r="L11" i="1" s="1"/>
  <c r="M11" i="1" s="1"/>
  <c r="L12" i="1" a="1"/>
  <c r="L12" i="1" s="1"/>
  <c r="M12" i="1" s="1"/>
  <c r="L13" i="1" a="1"/>
  <c r="L13" i="1" s="1"/>
  <c r="M13" i="1" s="1"/>
  <c r="L14" i="1" a="1"/>
  <c r="L14" i="1" s="1"/>
  <c r="M14" i="1" s="1"/>
  <c r="L15" i="1" a="1"/>
  <c r="L15" i="1" s="1"/>
  <c r="M15" i="1" s="1"/>
  <c r="L17" i="1" a="1"/>
  <c r="L17" i="1" s="1"/>
  <c r="M17" i="1" s="1"/>
  <c r="L3" i="1" a="1"/>
  <c r="L3" i="1" s="1"/>
  <c r="M3" i="1" s="1"/>
  <c r="M4" i="1"/>
  <c r="L5" i="1" a="1"/>
  <c r="L5" i="1" s="1"/>
  <c r="M5" i="1" s="1"/>
  <c r="L6" i="1" a="1"/>
  <c r="L6" i="1" s="1"/>
  <c r="M6" i="1" s="1"/>
  <c r="L7" i="1" a="1"/>
  <c r="L7" i="1" s="1"/>
  <c r="M7" i="1" s="1"/>
  <c r="L8" i="1" a="1"/>
  <c r="L8" i="1" s="1"/>
  <c r="M8" i="1" s="1"/>
  <c r="L9" i="1" a="1"/>
  <c r="L9" i="1" s="1"/>
  <c r="M9" i="1" s="1"/>
  <c r="N15" i="2" l="1"/>
  <c r="K15" i="2" a="1"/>
  <c r="K15" i="2" s="1"/>
  <c r="L15" i="2" s="1"/>
  <c r="J15" i="2"/>
  <c r="N14" i="2"/>
  <c r="K14" i="2" a="1"/>
  <c r="K14" i="2" s="1"/>
  <c r="L14" i="2" s="1"/>
  <c r="J14" i="2"/>
  <c r="N13" i="2"/>
  <c r="K13" i="2" a="1"/>
  <c r="K13" i="2" s="1"/>
  <c r="L13" i="2" s="1"/>
  <c r="J13" i="2" a="1"/>
  <c r="J13" i="2" s="1"/>
  <c r="N12" i="2"/>
  <c r="K12" i="2" a="1"/>
  <c r="K12" i="2" s="1"/>
  <c r="L12" i="2" s="1"/>
  <c r="J12" i="2"/>
  <c r="J12" i="2" a="1"/>
  <c r="N11" i="2"/>
  <c r="K11" i="2" a="1"/>
  <c r="K11" i="2" s="1"/>
  <c r="L11" i="2" s="1"/>
  <c r="J11" i="2" a="1"/>
  <c r="J11" i="2" s="1"/>
  <c r="N10" i="2"/>
  <c r="K10" i="2" a="1"/>
  <c r="K10" i="2" s="1"/>
  <c r="L10" i="2" s="1"/>
  <c r="J10" i="2" a="1"/>
  <c r="J10" i="2" s="1"/>
  <c r="N9" i="2"/>
  <c r="K9" i="2" a="1"/>
  <c r="K9" i="2" s="1"/>
  <c r="L9" i="2" s="1"/>
  <c r="J9" i="2" a="1"/>
  <c r="J9" i="2" s="1"/>
  <c r="N8" i="2"/>
  <c r="K8" i="2" a="1"/>
  <c r="K8" i="2" s="1"/>
  <c r="L8" i="2" s="1"/>
  <c r="J8" i="2" a="1"/>
  <c r="J8" i="2" s="1"/>
  <c r="N7" i="2"/>
  <c r="O7" i="2" s="1"/>
  <c r="K7" i="2" a="1"/>
  <c r="K7" i="2" s="1"/>
  <c r="L7" i="2" s="1"/>
  <c r="J7" i="2" a="1"/>
  <c r="J7" i="2" s="1"/>
  <c r="O6" i="2"/>
  <c r="N6" i="2"/>
  <c r="K6" i="2" a="1"/>
  <c r="K6" i="2" s="1"/>
  <c r="L6" i="2" s="1"/>
  <c r="J6" i="2" a="1"/>
  <c r="J6" i="2" s="1"/>
  <c r="O5" i="2"/>
  <c r="N5" i="2"/>
  <c r="K5" i="2" a="1"/>
  <c r="K5" i="2" s="1"/>
  <c r="L5" i="2" s="1"/>
  <c r="J5" i="2" a="1"/>
  <c r="J5" i="2" s="1"/>
  <c r="O4" i="2"/>
  <c r="N4" i="2"/>
  <c r="K4" i="2" a="1"/>
  <c r="K4" i="2" s="1"/>
  <c r="L4" i="2" s="1"/>
  <c r="J4" i="2" a="1"/>
  <c r="J4" i="2" s="1"/>
  <c r="N3" i="2"/>
  <c r="K3" i="2" a="1"/>
  <c r="K3" i="2" s="1"/>
  <c r="L3" i="2" s="1"/>
  <c r="J3" i="2" a="1"/>
  <c r="J3" i="2" s="1"/>
  <c r="N4" i="1" a="1"/>
  <c r="N4" i="1" s="1"/>
  <c r="O4" i="1" s="1"/>
  <c r="N5" i="1" a="1"/>
  <c r="N5" i="1" s="1"/>
  <c r="O5" i="1" s="1"/>
  <c r="N6" i="1" a="1"/>
  <c r="N6" i="1" s="1"/>
  <c r="O6" i="1" s="1"/>
  <c r="N7" i="1" a="1"/>
  <c r="N7" i="1" s="1"/>
  <c r="O7" i="1" s="1"/>
  <c r="N8" i="1" a="1"/>
  <c r="N8" i="1" s="1"/>
  <c r="O8" i="1" s="1"/>
  <c r="N15" i="1" a="1"/>
  <c r="N15" i="1" s="1"/>
  <c r="O15" i="1" s="1"/>
  <c r="N17" i="1" a="1"/>
  <c r="N17" i="1" s="1"/>
  <c r="O17" i="1" s="1"/>
  <c r="N3" i="1" a="1"/>
  <c r="N3" i="1" s="1"/>
  <c r="O3" i="1" s="1"/>
  <c r="W7" i="1"/>
  <c r="S4" i="1"/>
  <c r="W4" i="1" s="1"/>
  <c r="S5" i="1"/>
  <c r="W5" i="1" s="1"/>
  <c r="S6" i="1"/>
  <c r="W6" i="1" s="1"/>
  <c r="K38" i="1"/>
  <c r="R38" i="1" s="1"/>
  <c r="W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<sst xmlns="http://schemas.openxmlformats.org/spreadsheetml/2006/main" count="501" uniqueCount="102">
  <si>
    <t>Tên chính sách</t>
  </si>
  <si>
    <t>Tháng</t>
  </si>
  <si>
    <t>Mã vendor</t>
  </si>
  <si>
    <t>Tên NCC</t>
  </si>
  <si>
    <t>Mã vật tư</t>
  </si>
  <si>
    <t>Tên vật tư</t>
  </si>
  <si>
    <t>Giá duyệt</t>
  </si>
  <si>
    <t>Hỗ trợ chi phí vận chuyển</t>
  </si>
  <si>
    <t>Nguyễn Linh Tâm</t>
  </si>
  <si>
    <t>Quang Chiến</t>
  </si>
  <si>
    <t>Khu vực</t>
  </si>
  <si>
    <t xml:space="preserve">Bạc Liêu </t>
  </si>
  <si>
    <t>Quãng Ngãi</t>
  </si>
  <si>
    <t>Quảng Nam</t>
  </si>
  <si>
    <t>Tỉnh</t>
  </si>
  <si>
    <t>Miền Tây</t>
  </si>
  <si>
    <t>Miền Trung</t>
  </si>
  <si>
    <t>Đơn giá hỗ trợ</t>
  </si>
  <si>
    <t>Giá sau điều chỉnh</t>
  </si>
  <si>
    <t>150000003</t>
  </si>
  <si>
    <t>Chai PET B1</t>
  </si>
  <si>
    <t>101327</t>
  </si>
  <si>
    <t>HKD Từ Thị Nhung</t>
  </si>
  <si>
    <t>102387</t>
  </si>
  <si>
    <t>Giá mua thực tế</t>
  </si>
  <si>
    <t>Sản lượng (kg)</t>
  </si>
  <si>
    <t>150000113</t>
  </si>
  <si>
    <t>Chai PET B1 Không Phân Loại</t>
  </si>
  <si>
    <t>101421</t>
  </si>
  <si>
    <t>Hỗ trợ trạm</t>
  </si>
  <si>
    <t>100871</t>
  </si>
  <si>
    <t>Khánh Nga</t>
  </si>
  <si>
    <t>Trạm</t>
  </si>
  <si>
    <t>Tăng giá</t>
  </si>
  <si>
    <t>102000</t>
  </si>
  <si>
    <t>Phúc Long</t>
  </si>
  <si>
    <t>Loại 2</t>
  </si>
  <si>
    <t>Loại 3</t>
  </si>
  <si>
    <t>101570</t>
  </si>
  <si>
    <t>Tấn Phát</t>
  </si>
  <si>
    <t>Loại 1</t>
  </si>
  <si>
    <t>101423</t>
  </si>
  <si>
    <t>Quang Chí Bảo</t>
  </si>
  <si>
    <t>Tăng hỗ trợ hoàn thành PO</t>
  </si>
  <si>
    <t>Loại 1 + NL1</t>
  </si>
  <si>
    <t>Loại 2 + NL2</t>
  </si>
  <si>
    <t>NL3</t>
  </si>
  <si>
    <t>150000051</t>
  </si>
  <si>
    <t>Vảy PET B1_A5.1</t>
  </si>
  <si>
    <t>CS NCC đồng hành</t>
  </si>
  <si>
    <t>CS NCC liên kết</t>
  </si>
  <si>
    <t>150000052</t>
  </si>
  <si>
    <t>Vảy PET B1_A5.2_R2</t>
  </si>
  <si>
    <t>Vảy PET B1_A5.2</t>
  </si>
  <si>
    <t>Tổng SL thưởng vảy PET</t>
  </si>
  <si>
    <t>Loại 2 + Loại 3</t>
  </si>
  <si>
    <t>Tổng SL chai CS NCC liên kết</t>
  </si>
  <si>
    <t>101787</t>
  </si>
  <si>
    <t>An Hưng</t>
  </si>
  <si>
    <t>Loại 4</t>
  </si>
  <si>
    <t>102725</t>
  </si>
  <si>
    <t>Cường Phát</t>
  </si>
  <si>
    <t>150000189</t>
  </si>
  <si>
    <t>Vảy PET B1_A5.2_R1</t>
  </si>
  <si>
    <t>102122</t>
  </si>
  <si>
    <t>Nhất Hoàng Gia</t>
  </si>
  <si>
    <t>150000053</t>
  </si>
  <si>
    <t>Vảy PET B1_A6</t>
  </si>
  <si>
    <t>Hỗ trợ PO cộng thẳng giá mua</t>
  </si>
  <si>
    <t>NL2</t>
  </si>
  <si>
    <t>102059</t>
  </si>
  <si>
    <t>Tân Đại Hưng</t>
  </si>
  <si>
    <t>Giá duyệt loại thực nhập</t>
  </si>
  <si>
    <t>Giá duyệt 
loại 1</t>
  </si>
  <si>
    <t>101424</t>
  </si>
  <si>
    <t>Quang Anh BP</t>
  </si>
  <si>
    <t>Năm</t>
  </si>
  <si>
    <t>102832</t>
  </si>
  <si>
    <t>Vân Hân</t>
  </si>
  <si>
    <t>102850</t>
  </si>
  <si>
    <t>Green Life</t>
  </si>
  <si>
    <t>Loại</t>
  </si>
  <si>
    <t>Thưởng đồng hành ngoại lệ</t>
  </si>
  <si>
    <t>Đơn giá thưởng CS thực tế</t>
  </si>
  <si>
    <t>102357</t>
  </si>
  <si>
    <t>Huỳnh Trần</t>
  </si>
  <si>
    <t>Đơn giá hỗ trợ cộng vào giá mua</t>
  </si>
  <si>
    <t>Tăng giá 800đ + Tăng hỗ trợ 500đ</t>
  </si>
  <si>
    <t>101782</t>
  </si>
  <si>
    <t>Du Phương</t>
  </si>
  <si>
    <t>Loại ra dòng giá chưa đổi</t>
  </si>
  <si>
    <t>101150</t>
  </si>
  <si>
    <t>Nhật Thi</t>
  </si>
  <si>
    <t>Chưa hoàn thành PO</t>
  </si>
  <si>
    <t>101609</t>
  </si>
  <si>
    <t>Anh Thư</t>
  </si>
  <si>
    <t>102023</t>
  </si>
  <si>
    <t>Nguyễn Tuân</t>
  </si>
  <si>
    <t>102718</t>
  </si>
  <si>
    <t>Nhựa Quốc Việt</t>
  </si>
  <si>
    <t>102782</t>
  </si>
  <si>
    <t>Thành Phát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</si>
</sst>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7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2" xfId="0" applyBorder="1"/>
    <xf numFmtId="164" fontId="0" fillId="0" borderId="2" xfId="1" applyNumberFormat="1" applyFont="1" applyBorder="1"/>
    <xf numFmtId="164" fontId="2" fillId="0" borderId="2" xfId="1" applyNumberFormat="1" applyFont="1" applyFill="1" applyBorder="1"/>
    <xf numFmtId="164" fontId="4" fillId="0" borderId="2" xfId="1" applyNumberFormat="1" applyFont="1" applyFill="1" applyBorder="1"/>
    <xf numFmtId="0" fontId="4" fillId="0" borderId="2" xfId="0" applyFont="1" applyBorder="1"/>
    <xf numFmtId="0" fontId="0" fillId="0" borderId="3" xfId="0" applyBorder="1"/>
    <xf numFmtId="164" fontId="0" fillId="0" borderId="3" xfId="1" applyNumberFormat="1" applyFont="1" applyBorder="1"/>
    <xf numFmtId="164" fontId="2" fillId="0" borderId="3" xfId="1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3FDF-922E-4E3B-A472-92E8CD72F632}">
  <sheetPr codeName="Sheet1" filterMode="1"/>
  <dimension ref="A2:W86"/>
  <sheetViews>
    <sheetView tabSelected="1" zoomScale="110" zoomScaleNormal="110" workbookViewId="0">
      <pane xSplit="7" ySplit="2" topLeftCell="H44" activePane="bottomRight" state="frozen"/>
      <selection pane="topRight" activeCell="E1" sqref="E1"/>
      <selection pane="bottomLeft" activeCell="A3" sqref="A3"/>
      <selection pane="bottomRight" activeCell="L45" sqref="L45"/>
    </sheetView>
  </sheetViews>
  <sheetFormatPr defaultRowHeight="14.5" outlineLevelRow="1" outlineLevelCol="1" x14ac:dyDescent="0.35"/>
  <cols>
    <col min="1" max="1" width="9.54296875" hidden="1" customWidth="1" outlineLevel="1"/>
    <col min="2" max="2" width="10.26953125" hidden="1" customWidth="1" outlineLevel="1"/>
    <col min="3" max="3" width="6.81640625" customWidth="1" collapsed="1"/>
    <col min="4" max="4" width="6.90625" style="1" customWidth="1"/>
    <col min="5" max="5" width="24.6328125" bestFit="1" customWidth="1"/>
    <col min="6" max="6" width="10.1796875" customWidth="1"/>
    <col min="7" max="7" width="15.08984375" bestFit="1" customWidth="1"/>
    <col min="8" max="8" width="9.81640625" bestFit="1" customWidth="1"/>
    <col min="9" max="9" width="24.08984375" bestFit="1" customWidth="1"/>
    <col min="10" max="11" width="12.6328125" style="1" customWidth="1"/>
    <col min="12" max="12" width="18.26953125" style="1" hidden="1" customWidth="1" outlineLevel="1"/>
    <col min="13" max="13" width="18.26953125" style="1" customWidth="1" collapsed="1"/>
    <col min="14" max="14" width="17.36328125" style="1" hidden="1" customWidth="1" outlineLevel="1"/>
    <col min="15" max="15" width="17.36328125" style="1" customWidth="1" collapsed="1"/>
    <col min="16" max="16" width="13.54296875" style="1" customWidth="1"/>
    <col min="17" max="17" width="14.6328125" style="1" customWidth="1"/>
    <col min="18" max="18" width="15.54296875" style="1" bestFit="1" customWidth="1"/>
    <col min="19" max="19" width="14.90625" style="1" bestFit="1" customWidth="1"/>
    <col min="20" max="20" width="10.6328125" style="1" customWidth="1"/>
    <col min="21" max="21" width="10.453125" bestFit="1" customWidth="1"/>
  </cols>
  <sheetData>
    <row r="2" spans="1:23" s="4" customFormat="1" ht="43.5" x14ac:dyDescent="0.35">
      <c r="A2" s="13" t="s">
        <v>10</v>
      </c>
      <c r="B2" s="13" t="s">
        <v>14</v>
      </c>
      <c r="C2" s="13" t="s">
        <v>76</v>
      </c>
      <c r="D2" s="14" t="s">
        <v>1</v>
      </c>
      <c r="E2" s="13" t="s">
        <v>0</v>
      </c>
      <c r="F2" s="13" t="s">
        <v>2</v>
      </c>
      <c r="G2" s="13" t="s">
        <v>3</v>
      </c>
      <c r="H2" s="13" t="s">
        <v>4</v>
      </c>
      <c r="I2" s="13" t="s">
        <v>5</v>
      </c>
      <c r="J2" s="15" t="s">
        <v>73</v>
      </c>
      <c r="K2" s="15" t="s">
        <v>72</v>
      </c>
      <c r="L2" s="15" t="s">
        <v>56</v>
      </c>
      <c r="M2" s="14" t="s">
        <v>50</v>
      </c>
      <c r="N2" s="14" t="s">
        <v>54</v>
      </c>
      <c r="O2" s="14" t="s">
        <v>49</v>
      </c>
      <c r="P2" s="16" t="s">
        <v>83</v>
      </c>
      <c r="Q2" s="16" t="s">
        <v>86</v>
      </c>
      <c r="R2" s="15" t="s">
        <v>18</v>
      </c>
      <c r="S2" s="15" t="s">
        <v>24</v>
      </c>
      <c r="T2" s="15" t="s">
        <v>25</v>
      </c>
      <c r="U2" s="15" t="s">
        <v>81</v>
      </c>
    </row>
    <row r="3" spans="1:23" hidden="1" x14ac:dyDescent="0.35">
      <c r="A3" s="10" t="s">
        <v>15</v>
      </c>
      <c r="B3" s="10" t="s">
        <v>11</v>
      </c>
      <c r="C3" s="10">
        <v>2025</v>
      </c>
      <c r="D3" s="11">
        <v>1</v>
      </c>
      <c r="E3" s="10" t="s">
        <v>7</v>
      </c>
      <c r="F3" s="10" t="s">
        <v>28</v>
      </c>
      <c r="G3" s="10" t="s">
        <v>8</v>
      </c>
      <c r="H3" s="10" t="s">
        <v>19</v>
      </c>
      <c r="I3" s="10" t="s">
        <v>20</v>
      </c>
      <c r="J3" s="11">
        <v>16800</v>
      </c>
      <c r="K3" s="11">
        <f t="shared" ref="K3:K34" si="0">IF(ISNUMBER(SEARCH(2,U3)),J3-500,IF(ISNUMBER(SEARCH(3,U3)),J3-1000,IF(ISNUMBER(SEARCH(4,U3)),J3-1500,J3)))</f>
        <v>16800</v>
      </c>
      <c r="L3" s="12" cm="1">
        <f t="array" ref="L3">SUMPRODUCT($T$3:$T$1009*((LEFT($I$3:$I$1009,11)="Chai PET B3"))*((LEFT($I3,11)="Chai PET B3"))*($F$3:$F$1009=$F3)*($D$3:$D$1009=$D3)*(($F$3:$F$1009="101423")+($F$3:$F$1009="101787"))+$T$3:$T$1009*((LEFT($I$3:$I$1009,11)="Chai PET B1")*(LEFT($I3,11)="Chai PET B1"))*($F$3:$F$1009=$F3)*($D$3:$D$1009=$D3)*(($F$3:$F$1009="101423")+($F$3:$F$1009="101787")))</f>
        <v>0</v>
      </c>
      <c r="M3" s="12">
        <f>IF(L3&gt;100000,500,0)</f>
        <v>0</v>
      </c>
      <c r="N3" s="11" cm="1">
        <f t="array" ref="N3">SUMPRODUCT($T$3:$T$1009*(LEFT(I3,7)="Vảy PET")*((LEFT($I$3:$I$1009,7)="Vảy PET")*($D$3:$D$1009=$D3)*($F$3:$F$1009=$F3)))</f>
        <v>0</v>
      </c>
      <c r="O3" s="11">
        <f>IF(N3&gt;=500000,500,IF(AND(N3&gt;=400000,N3&lt;500000),400,IF(AND(N3&gt;=300000,N3&lt;400000),300,IF(AND(N3&gt;=200000,N3&lt;300000),200,0))))</f>
        <v>0</v>
      </c>
      <c r="P3" s="11">
        <v>0</v>
      </c>
      <c r="Q3" s="11">
        <v>200</v>
      </c>
      <c r="R3" s="11">
        <f>K3+Q3</f>
        <v>17000</v>
      </c>
      <c r="S3" s="11">
        <v>0</v>
      </c>
      <c r="T3" s="11">
        <v>0</v>
      </c>
      <c r="U3" s="10"/>
      <c r="W3" s="2">
        <f>R3-S3</f>
        <v>17000</v>
      </c>
    </row>
    <row r="4" spans="1:23" hidden="1" x14ac:dyDescent="0.35">
      <c r="A4" s="5" t="s">
        <v>16</v>
      </c>
      <c r="B4" s="5" t="s">
        <v>12</v>
      </c>
      <c r="C4" s="5">
        <v>2025</v>
      </c>
      <c r="D4" s="6">
        <v>1</v>
      </c>
      <c r="E4" s="5" t="s">
        <v>7</v>
      </c>
      <c r="F4" s="5" t="s">
        <v>21</v>
      </c>
      <c r="G4" s="5" t="s">
        <v>22</v>
      </c>
      <c r="H4" s="5" t="s">
        <v>19</v>
      </c>
      <c r="I4" s="5" t="s">
        <v>20</v>
      </c>
      <c r="J4" s="6">
        <v>16800</v>
      </c>
      <c r="K4" s="6">
        <f t="shared" si="0"/>
        <v>16800</v>
      </c>
      <c r="L4" s="7" cm="1">
        <f t="array" ref="L4">SUMPRODUCT($T$3:$T$1009*((LEFT($I$3:$I$1009,11)="Chai PET B3"))*((LEFT($I4,11)="Chai PET B3"))*($F$3:$F$1009=$F4)*($D$3:$D$1009=$D4)*(($F$3:$F$1009="101423")+($F$3:$F$1009="101787"))+$T$3:$T$1009*((LEFT($I$3:$I$1009,11)="Chai PET B1")*(LEFT($I4,11)="Chai PET B1"))*($F$3:$F$1009=$F4)*($D$3:$D$1009=$D4)*(($F$3:$F$1009="101423")+($F$3:$F$1009="101787")))</f>
        <v>0</v>
      </c>
      <c r="M4" s="7">
        <f t="shared" ref="M4:M38" si="1">IF(L4&gt;100000,500,0)</f>
        <v>0</v>
      </c>
      <c r="N4" s="6" cm="1">
        <f t="array" ref="N4">SUMPRODUCT($T$3:$T$1009*(LEFT(I4,7)="Vảy PET")*((LEFT($I$3:$I$1009,7)="Vảy PET")*($D$3:$D$1009=$D4)*($F$3:$F$1009=$F4)))</f>
        <v>0</v>
      </c>
      <c r="O4" s="11">
        <f t="shared" ref="O4:O72" si="2">IF(N4&gt;=500000,500,IF(AND(N4&gt;=400000,N4&lt;500000),400,IF(AND(N4&gt;=300000,N4&lt;400000),300,IF(AND(N4&gt;=200000,N4&lt;300000),200,0))))</f>
        <v>0</v>
      </c>
      <c r="P4" s="11">
        <v>0</v>
      </c>
      <c r="Q4" s="6">
        <v>200</v>
      </c>
      <c r="R4" s="11">
        <f t="shared" ref="R4:R44" si="3">K4+Q4</f>
        <v>17000</v>
      </c>
      <c r="S4" s="6">
        <f>17425/1.025</f>
        <v>17000</v>
      </c>
      <c r="T4" s="6">
        <v>7032</v>
      </c>
      <c r="U4" s="5"/>
      <c r="W4" s="2">
        <f t="shared" ref="W4:W49" si="4">R4-S4</f>
        <v>0</v>
      </c>
    </row>
    <row r="5" spans="1:23" hidden="1" outlineLevel="1" x14ac:dyDescent="0.35">
      <c r="A5" s="5" t="s">
        <v>16</v>
      </c>
      <c r="B5" s="5" t="s">
        <v>13</v>
      </c>
      <c r="C5" s="5">
        <v>2025</v>
      </c>
      <c r="D5" s="6">
        <v>1</v>
      </c>
      <c r="E5" s="5" t="s">
        <v>7</v>
      </c>
      <c r="F5" s="5" t="s">
        <v>23</v>
      </c>
      <c r="G5" s="5" t="s">
        <v>9</v>
      </c>
      <c r="H5" s="5" t="s">
        <v>19</v>
      </c>
      <c r="I5" s="5" t="s">
        <v>20</v>
      </c>
      <c r="J5" s="6">
        <v>16800</v>
      </c>
      <c r="K5" s="6">
        <f t="shared" si="0"/>
        <v>16800</v>
      </c>
      <c r="L5" s="7" cm="1">
        <f t="array" ref="L5">SUMPRODUCT($T$3:$T$1009*((LEFT($I$3:$I$1009,11)="Chai PET B3"))*((LEFT($I5,11)="Chai PET B3"))*($F$3:$F$1009=$F5)*($D$3:$D$1009=$D5)*(($F$3:$F$1009="101423")+($F$3:$F$1009="101787"))+$T$3:$T$1009*((LEFT($I$3:$I$1009,11)="Chai PET B1")*(LEFT($I5,11)="Chai PET B1"))*($F$3:$F$1009=$F5)*($D$3:$D$1009=$D5)*(($F$3:$F$1009="101423")+($F$3:$F$1009="101787")))</f>
        <v>0</v>
      </c>
      <c r="M5" s="7">
        <f t="shared" si="1"/>
        <v>0</v>
      </c>
      <c r="N5" s="6" cm="1">
        <f t="array" ref="N5">SUMPRODUCT($T$3:$T$1009*(LEFT(I5,7)="Vảy PET")*((LEFT($I$3:$I$1009,7)="Vảy PET")*($D$3:$D$1009=$D5)*($F$3:$F$1009=$F5)))</f>
        <v>0</v>
      </c>
      <c r="O5" s="11">
        <f t="shared" si="2"/>
        <v>0</v>
      </c>
      <c r="P5" s="11">
        <v>0</v>
      </c>
      <c r="Q5" s="6">
        <v>200</v>
      </c>
      <c r="R5" s="11">
        <f t="shared" si="3"/>
        <v>17000</v>
      </c>
      <c r="S5" s="6">
        <f>17118/1.025</f>
        <v>16700.487804878052</v>
      </c>
      <c r="T5" s="6">
        <v>1541</v>
      </c>
      <c r="U5" s="5"/>
      <c r="W5" s="2">
        <f t="shared" si="4"/>
        <v>299.51219512194803</v>
      </c>
    </row>
    <row r="6" spans="1:23" hidden="1" outlineLevel="1" x14ac:dyDescent="0.35">
      <c r="A6" s="5" t="s">
        <v>16</v>
      </c>
      <c r="B6" s="5" t="s">
        <v>13</v>
      </c>
      <c r="C6" s="5">
        <v>2025</v>
      </c>
      <c r="D6" s="6">
        <v>1</v>
      </c>
      <c r="E6" s="5" t="s">
        <v>7</v>
      </c>
      <c r="F6" s="5" t="s">
        <v>23</v>
      </c>
      <c r="G6" s="5" t="s">
        <v>9</v>
      </c>
      <c r="H6" s="5" t="s">
        <v>26</v>
      </c>
      <c r="I6" s="5" t="s">
        <v>27</v>
      </c>
      <c r="J6" s="6">
        <v>15800</v>
      </c>
      <c r="K6" s="6">
        <f t="shared" si="0"/>
        <v>15800</v>
      </c>
      <c r="L6" s="7" cm="1">
        <f t="array" ref="L6">SUMPRODUCT($T$3:$T$1009*((LEFT($I$3:$I$1009,11)="Chai PET B3"))*((LEFT($I6,11)="Chai PET B3"))*($F$3:$F$1009=$F6)*($D$3:$D$1009=$D6)*(($F$3:$F$1009="101423")+($F$3:$F$1009="101787"))+$T$3:$T$1009*((LEFT($I$3:$I$1009,11)="Chai PET B1")*(LEFT($I6,11)="Chai PET B1"))*($F$3:$F$1009=$F6)*($D$3:$D$1009=$D6)*(($F$3:$F$1009="101423")+($F$3:$F$1009="101787")))</f>
        <v>0</v>
      </c>
      <c r="M6" s="7">
        <f t="shared" si="1"/>
        <v>0</v>
      </c>
      <c r="N6" s="6" cm="1">
        <f t="array" ref="N6">SUMPRODUCT($T$3:$T$1009*(LEFT(I6,7)="Vảy PET")*((LEFT($I$3:$I$1009,7)="Vảy PET")*($D$3:$D$1009=$D6)*($F$3:$F$1009=$F6)))</f>
        <v>0</v>
      </c>
      <c r="O6" s="11">
        <f t="shared" si="2"/>
        <v>0</v>
      </c>
      <c r="P6" s="11">
        <v>0</v>
      </c>
      <c r="Q6" s="6">
        <v>200</v>
      </c>
      <c r="R6" s="11">
        <f t="shared" si="3"/>
        <v>16000</v>
      </c>
      <c r="S6" s="6">
        <f>16093/1.025</f>
        <v>15700.48780487805</v>
      </c>
      <c r="T6" s="6">
        <v>2828</v>
      </c>
      <c r="U6" s="5"/>
      <c r="W6" s="2">
        <f t="shared" si="4"/>
        <v>299.51219512194984</v>
      </c>
    </row>
    <row r="7" spans="1:23" hidden="1" collapsed="1" x14ac:dyDescent="0.35">
      <c r="A7" s="5" t="s">
        <v>32</v>
      </c>
      <c r="B7" s="5" t="s">
        <v>32</v>
      </c>
      <c r="C7" s="5">
        <v>2025</v>
      </c>
      <c r="D7" s="6">
        <v>2</v>
      </c>
      <c r="E7" s="5" t="s">
        <v>29</v>
      </c>
      <c r="F7" s="5" t="s">
        <v>30</v>
      </c>
      <c r="G7" s="5" t="s">
        <v>31</v>
      </c>
      <c r="H7" s="5" t="s">
        <v>26</v>
      </c>
      <c r="I7" s="5" t="s">
        <v>27</v>
      </c>
      <c r="J7" s="6">
        <v>15800</v>
      </c>
      <c r="K7" s="6">
        <f t="shared" si="0"/>
        <v>15800</v>
      </c>
      <c r="L7" s="7" cm="1">
        <f t="array" ref="L7">SUMPRODUCT($T$3:$T$1009*((LEFT($I$3:$I$1009,11)="Chai PET B3"))*((LEFT($I7,11)="Chai PET B3"))*($F$3:$F$1009=$F7)*($D$3:$D$1009=$D7)*(($F$3:$F$1009="101423")+($F$3:$F$1009="101787"))+$T$3:$T$1009*((LEFT($I$3:$I$1009,11)="Chai PET B1")*(LEFT($I7,11)="Chai PET B1"))*($F$3:$F$1009=$F7)*($D$3:$D$1009=$D7)*(($F$3:$F$1009="101423")+($F$3:$F$1009="101787")))</f>
        <v>0</v>
      </c>
      <c r="M7" s="7">
        <f t="shared" si="1"/>
        <v>0</v>
      </c>
      <c r="N7" s="6" cm="1">
        <f t="array" ref="N7">SUMPRODUCT($T$3:$T$1009*(LEFT(I7,7)="Vảy PET")*((LEFT($I$3:$I$1009,7)="Vảy PET")*($D$3:$D$1009=$D7)*($F$3:$F$1009=$F7)))</f>
        <v>0</v>
      </c>
      <c r="O7" s="11">
        <f t="shared" si="2"/>
        <v>0</v>
      </c>
      <c r="P7" s="11">
        <v>0</v>
      </c>
      <c r="Q7" s="6">
        <v>594</v>
      </c>
      <c r="R7" s="11">
        <f>K7+Q7</f>
        <v>16394</v>
      </c>
      <c r="S7" s="6">
        <v>16394</v>
      </c>
      <c r="T7" s="6">
        <v>37520</v>
      </c>
      <c r="U7" s="5"/>
      <c r="W7" s="2">
        <f t="shared" si="4"/>
        <v>0</v>
      </c>
    </row>
    <row r="8" spans="1:23" hidden="1" x14ac:dyDescent="0.35">
      <c r="A8" s="5"/>
      <c r="B8" s="5"/>
      <c r="C8" s="5">
        <v>2025</v>
      </c>
      <c r="D8" s="6">
        <v>3</v>
      </c>
      <c r="E8" s="5" t="s">
        <v>33</v>
      </c>
      <c r="F8" s="5" t="s">
        <v>34</v>
      </c>
      <c r="G8" s="5" t="s">
        <v>35</v>
      </c>
      <c r="H8" s="5" t="s">
        <v>19</v>
      </c>
      <c r="I8" s="5" t="s">
        <v>20</v>
      </c>
      <c r="J8" s="6">
        <v>17200</v>
      </c>
      <c r="K8" s="6">
        <f t="shared" si="0"/>
        <v>16700</v>
      </c>
      <c r="L8" s="7" cm="1">
        <f t="array" ref="L8">SUMPRODUCT($T$3:$T$1009*((LEFT($I$3:$I$1009,11)="Chai PET B3"))*((LEFT($I8,11)="Chai PET B3"))*($F$3:$F$1009=$F8)*($D$3:$D$1009=$D8)*(($F$3:$F$1009="101423")+($F$3:$F$1009="101787"))+$T$3:$T$1009*((LEFT($I$3:$I$1009,11)="Chai PET B1")*(LEFT($I8,11)="Chai PET B1"))*($F$3:$F$1009=$F8)*($D$3:$D$1009=$D8)*(($F$3:$F$1009="101423")+($F$3:$F$1009="101787")))</f>
        <v>0</v>
      </c>
      <c r="M8" s="7">
        <f t="shared" si="1"/>
        <v>0</v>
      </c>
      <c r="N8" s="6" cm="1">
        <f t="array" ref="N8">SUMPRODUCT($T$3:$T$1009*(LEFT(I8,7)="Vảy PET")*((LEFT($I$3:$I$1009,7)="Vảy PET")*($D$3:$D$1009=$D8)*($F$3:$F$1009=$F8)))</f>
        <v>0</v>
      </c>
      <c r="O8" s="11">
        <f t="shared" si="2"/>
        <v>0</v>
      </c>
      <c r="P8" s="11">
        <v>0</v>
      </c>
      <c r="Q8" s="6">
        <v>200</v>
      </c>
      <c r="R8" s="11">
        <f t="shared" si="3"/>
        <v>16900</v>
      </c>
      <c r="S8" s="6">
        <v>16900</v>
      </c>
      <c r="T8" s="6">
        <v>4219</v>
      </c>
      <c r="U8" s="5" t="s">
        <v>36</v>
      </c>
      <c r="W8" s="2">
        <f t="shared" si="4"/>
        <v>0</v>
      </c>
    </row>
    <row r="9" spans="1:23" hidden="1" x14ac:dyDescent="0.35">
      <c r="A9" s="5"/>
      <c r="B9" s="5"/>
      <c r="C9" s="5">
        <v>2025</v>
      </c>
      <c r="D9" s="6">
        <v>3</v>
      </c>
      <c r="E9" s="5" t="s">
        <v>33</v>
      </c>
      <c r="F9" s="5" t="s">
        <v>34</v>
      </c>
      <c r="G9" s="5" t="s">
        <v>35</v>
      </c>
      <c r="H9" s="5" t="s">
        <v>19</v>
      </c>
      <c r="I9" s="5" t="s">
        <v>20</v>
      </c>
      <c r="J9" s="6">
        <v>17200</v>
      </c>
      <c r="K9" s="6">
        <f t="shared" si="0"/>
        <v>16200</v>
      </c>
      <c r="L9" s="7" cm="1">
        <f t="array" ref="L9">SUMPRODUCT($T$3:$T$1009*((LEFT($I$3:$I$1009,11)="Chai PET B3"))*((LEFT($I9,11)="Chai PET B3"))*($F$3:$F$1009=$F9)*($D$3:$D$1009=$D9)*(($F$3:$F$1009="101423")+($F$3:$F$1009="101787"))+$T$3:$T$1009*((LEFT($I$3:$I$1009,11)="Chai PET B1")*(LEFT($I9,11)="Chai PET B1"))*($F$3:$F$1009=$F9)*($D$3:$D$1009=$D9)*(($F$3:$F$1009="101423")+($F$3:$F$1009="101787")))</f>
        <v>0</v>
      </c>
      <c r="M9" s="7">
        <f t="shared" si="1"/>
        <v>0</v>
      </c>
      <c r="N9" s="6" cm="1">
        <f t="array" ref="N9">SUMPRODUCT($T$3:$T$1009*(LEFT(I9,7)="Vảy PET")*((LEFT($I$3:$I$1009,7)="Vảy PET")*($D$3:$D$1009=$D9)*($F$3:$F$1009=$F9)))</f>
        <v>0</v>
      </c>
      <c r="O9" s="11">
        <f t="shared" si="2"/>
        <v>0</v>
      </c>
      <c r="P9" s="11">
        <v>0</v>
      </c>
      <c r="Q9" s="6">
        <v>200</v>
      </c>
      <c r="R9" s="11">
        <f t="shared" si="3"/>
        <v>16400</v>
      </c>
      <c r="S9" s="6">
        <v>16400</v>
      </c>
      <c r="T9" s="6">
        <v>6572</v>
      </c>
      <c r="U9" s="5" t="s">
        <v>37</v>
      </c>
      <c r="W9" s="2">
        <f t="shared" si="4"/>
        <v>0</v>
      </c>
    </row>
    <row r="10" spans="1:23" hidden="1" x14ac:dyDescent="0.35">
      <c r="A10" s="5"/>
      <c r="B10" s="5"/>
      <c r="C10" s="5">
        <v>2025</v>
      </c>
      <c r="D10" s="6">
        <v>3</v>
      </c>
      <c r="E10" s="5" t="s">
        <v>33</v>
      </c>
      <c r="F10" s="5" t="s">
        <v>38</v>
      </c>
      <c r="G10" s="5" t="s">
        <v>39</v>
      </c>
      <c r="H10" s="5" t="s">
        <v>19</v>
      </c>
      <c r="I10" s="5" t="s">
        <v>20</v>
      </c>
      <c r="J10" s="6">
        <v>17200</v>
      </c>
      <c r="K10" s="6">
        <f t="shared" si="0"/>
        <v>17200</v>
      </c>
      <c r="L10" s="7" cm="1">
        <f t="array" ref="L10">SUMPRODUCT($T$3:$T$1009*((LEFT($I$3:$I$1009,11)="Chai PET B3"))*((LEFT($I10,11)="Chai PET B3"))*($F$3:$F$1009=$F10)*($D$3:$D$1009=$D10)*(($F$3:$F$1009="101423")+($F$3:$F$1009="101787"))+$T$3:$T$1009*((LEFT($I$3:$I$1009,11)="Chai PET B1")*(LEFT($I10,11)="Chai PET B1"))*($F$3:$F$1009=$F10)*($D$3:$D$1009=$D10)*(($F$3:$F$1009="101423")+($F$3:$F$1009="101787")))</f>
        <v>0</v>
      </c>
      <c r="M10" s="7">
        <f t="shared" si="1"/>
        <v>0</v>
      </c>
      <c r="N10" s="6" cm="1">
        <f t="array" ref="N10">SUMPRODUCT($T$3:$T$1009*(LEFT(I10,7)="Vảy PET")*((LEFT($I$3:$I$1009,7)="Vảy PET")*($D$3:$D$1009=$D10)*($F$3:$F$1009=$F10)))</f>
        <v>0</v>
      </c>
      <c r="O10" s="11">
        <f t="shared" si="2"/>
        <v>0</v>
      </c>
      <c r="P10" s="11">
        <v>0</v>
      </c>
      <c r="Q10" s="6">
        <v>200</v>
      </c>
      <c r="R10" s="11">
        <f t="shared" si="3"/>
        <v>17400</v>
      </c>
      <c r="S10" s="6">
        <v>17400</v>
      </c>
      <c r="T10" s="6">
        <v>23858</v>
      </c>
      <c r="U10" s="5" t="s">
        <v>40</v>
      </c>
      <c r="W10" s="2">
        <f t="shared" si="4"/>
        <v>0</v>
      </c>
    </row>
    <row r="11" spans="1:23" hidden="1" x14ac:dyDescent="0.35">
      <c r="A11" s="5"/>
      <c r="B11" s="5"/>
      <c r="C11" s="5">
        <v>2025</v>
      </c>
      <c r="D11" s="6">
        <v>3</v>
      </c>
      <c r="E11" s="5" t="s">
        <v>33</v>
      </c>
      <c r="F11" s="5" t="s">
        <v>38</v>
      </c>
      <c r="G11" s="5" t="s">
        <v>39</v>
      </c>
      <c r="H11" s="5" t="s">
        <v>19</v>
      </c>
      <c r="I11" s="5" t="s">
        <v>20</v>
      </c>
      <c r="J11" s="6">
        <v>17200</v>
      </c>
      <c r="K11" s="6">
        <f t="shared" si="0"/>
        <v>16200</v>
      </c>
      <c r="L11" s="7" cm="1">
        <f t="array" ref="L11">SUMPRODUCT($T$3:$T$1009*((LEFT($I$3:$I$1009,11)="Chai PET B3"))*((LEFT($I11,11)="Chai PET B3"))*($F$3:$F$1009=$F11)*($D$3:$D$1009=$D11)*(($F$3:$F$1009="101423")+($F$3:$F$1009="101787"))+$T$3:$T$1009*((LEFT($I$3:$I$1009,11)="Chai PET B1")*(LEFT($I11,11)="Chai PET B1"))*($F$3:$F$1009=$F11)*($D$3:$D$1009=$D11)*(($F$3:$F$1009="101423")+($F$3:$F$1009="101787")))</f>
        <v>0</v>
      </c>
      <c r="M11" s="7">
        <f t="shared" si="1"/>
        <v>0</v>
      </c>
      <c r="N11" s="6" cm="1">
        <f t="array" ref="N11">SUMPRODUCT($T$3:$T$1009*(LEFT(I11,7)="Vảy PET")*((LEFT($I$3:$I$1009,7)="Vảy PET")*($D$3:$D$1009=$D11)*($F$3:$F$1009=$F11)))</f>
        <v>0</v>
      </c>
      <c r="O11" s="11">
        <f t="shared" si="2"/>
        <v>0</v>
      </c>
      <c r="P11" s="11">
        <v>0</v>
      </c>
      <c r="Q11" s="6">
        <v>200</v>
      </c>
      <c r="R11" s="11">
        <f t="shared" si="3"/>
        <v>16400</v>
      </c>
      <c r="S11" s="6">
        <v>16400</v>
      </c>
      <c r="T11" s="6">
        <v>32010</v>
      </c>
      <c r="U11" s="5" t="s">
        <v>37</v>
      </c>
      <c r="W11" s="2">
        <f t="shared" si="4"/>
        <v>0</v>
      </c>
    </row>
    <row r="12" spans="1:23" hidden="1" x14ac:dyDescent="0.35">
      <c r="A12" s="5"/>
      <c r="B12" s="5"/>
      <c r="C12" s="5">
        <v>2025</v>
      </c>
      <c r="D12" s="6">
        <v>4</v>
      </c>
      <c r="E12" s="5" t="s">
        <v>43</v>
      </c>
      <c r="F12" s="5" t="s">
        <v>41</v>
      </c>
      <c r="G12" s="5" t="s">
        <v>42</v>
      </c>
      <c r="H12" s="5" t="s">
        <v>19</v>
      </c>
      <c r="I12" s="5" t="s">
        <v>20</v>
      </c>
      <c r="J12" s="6">
        <v>18000</v>
      </c>
      <c r="K12" s="6">
        <f t="shared" si="0"/>
        <v>18000</v>
      </c>
      <c r="L12" s="7" cm="1">
        <f t="array" ref="L12">SUMPRODUCT($T$3:$T$1009*((LEFT($I$3:$I$1009,11)="Chai PET B3"))*((LEFT($I12,11)="Chai PET B3"))*($F$3:$F$1009=$F12)*($D$3:$D$1009=$D12)*(($F$3:$F$1009="101423")+($F$3:$F$1009="101787"))+$T$3:$T$1009*((LEFT($I$3:$I$1009,11)="Chai PET B1")*(LEFT($I12,11)="Chai PET B1"))*($F$3:$F$1009=$F12)*($D$3:$D$1009=$D12)*(($F$3:$F$1009="101423")+($F$3:$F$1009="101787")))</f>
        <v>234042</v>
      </c>
      <c r="M12" s="8">
        <f t="shared" si="1"/>
        <v>500</v>
      </c>
      <c r="N12" s="6" cm="1">
        <f t="array" ref="N12">SUMPRODUCT($T$3:$T$1009*(LEFT(I12,7)="Vảy PET")*((LEFT($I$3:$I$1009,7)="Vảy PET")*($D$3:$D$1009=$D12)*($F$3:$F$1009=$F12)))</f>
        <v>0</v>
      </c>
      <c r="O12" s="11">
        <f t="shared" si="2"/>
        <v>0</v>
      </c>
      <c r="P12" s="11">
        <v>0</v>
      </c>
      <c r="Q12" s="6">
        <v>200</v>
      </c>
      <c r="R12" s="11">
        <f>K12+Q12</f>
        <v>18200</v>
      </c>
      <c r="S12" s="6">
        <v>18178.208192928392</v>
      </c>
      <c r="T12" s="6">
        <v>208326</v>
      </c>
      <c r="U12" s="5" t="s">
        <v>44</v>
      </c>
      <c r="W12" s="2">
        <f t="shared" si="4"/>
        <v>21.791807071607764</v>
      </c>
    </row>
    <row r="13" spans="1:23" hidden="1" x14ac:dyDescent="0.35">
      <c r="A13" s="5"/>
      <c r="B13" s="5"/>
      <c r="C13" s="5">
        <v>2025</v>
      </c>
      <c r="D13" s="6">
        <v>4</v>
      </c>
      <c r="E13" s="5" t="s">
        <v>43</v>
      </c>
      <c r="F13" s="5" t="s">
        <v>41</v>
      </c>
      <c r="G13" s="5" t="s">
        <v>42</v>
      </c>
      <c r="H13" s="5" t="s">
        <v>19</v>
      </c>
      <c r="I13" s="9" t="s">
        <v>20</v>
      </c>
      <c r="J13" s="6">
        <v>18000</v>
      </c>
      <c r="K13" s="6">
        <f t="shared" si="0"/>
        <v>17500</v>
      </c>
      <c r="L13" s="7" cm="1">
        <f t="array" ref="L13">SUMPRODUCT($T$3:$T$1009*((LEFT($I$3:$I$1009,11)="Chai PET B3"))*((LEFT($I13,11)="Chai PET B3"))*($F$3:$F$1009=$F13)*($D$3:$D$1009=$D13)*(($F$3:$F$1009="101423")+($F$3:$F$1009="101787"))+$T$3:$T$1009*((LEFT($I$3:$I$1009,11)="Chai PET B1")*(LEFT($I13,11)="Chai PET B1"))*($F$3:$F$1009=$F13)*($D$3:$D$1009=$D13)*(($F$3:$F$1009="101423")+($F$3:$F$1009="101787")))</f>
        <v>234042</v>
      </c>
      <c r="M13" s="8">
        <f t="shared" si="1"/>
        <v>500</v>
      </c>
      <c r="N13" s="6" cm="1">
        <f t="array" ref="N13">SUMPRODUCT($T$3:$T$1009*(LEFT(I13,7)="Vảy PET")*((LEFT($I$3:$I$1009,7)="Vảy PET")*($D$3:$D$1009=$D13)*($F$3:$F$1009=$F13)))</f>
        <v>0</v>
      </c>
      <c r="O13" s="11">
        <f t="shared" si="2"/>
        <v>0</v>
      </c>
      <c r="P13" s="11">
        <v>0</v>
      </c>
      <c r="Q13" s="6">
        <v>200</v>
      </c>
      <c r="R13" s="11">
        <f t="shared" si="3"/>
        <v>17700</v>
      </c>
      <c r="S13" s="6">
        <v>17700</v>
      </c>
      <c r="T13" s="6">
        <v>10414</v>
      </c>
      <c r="U13" s="5" t="s">
        <v>45</v>
      </c>
      <c r="W13" s="2">
        <f t="shared" si="4"/>
        <v>0</v>
      </c>
    </row>
    <row r="14" spans="1:23" hidden="1" x14ac:dyDescent="0.35">
      <c r="A14" s="5"/>
      <c r="B14" s="5"/>
      <c r="C14" s="5">
        <v>2025</v>
      </c>
      <c r="D14" s="6">
        <v>4</v>
      </c>
      <c r="E14" s="5" t="s">
        <v>43</v>
      </c>
      <c r="F14" s="5" t="s">
        <v>41</v>
      </c>
      <c r="G14" s="5" t="s">
        <v>42</v>
      </c>
      <c r="H14" s="5" t="s">
        <v>19</v>
      </c>
      <c r="I14" s="5" t="s">
        <v>20</v>
      </c>
      <c r="J14" s="6">
        <v>18000</v>
      </c>
      <c r="K14" s="6">
        <f t="shared" si="0"/>
        <v>17000</v>
      </c>
      <c r="L14" s="7" cm="1">
        <f t="array" ref="L14">SUMPRODUCT($T$3:$T$1009*((LEFT($I$3:$I$1009,11)="Chai PET B3"))*((LEFT($I14,11)="Chai PET B3"))*($F$3:$F$1009=$F14)*($D$3:$D$1009=$D14)*(($F$3:$F$1009="101423")+($F$3:$F$1009="101787"))+$T$3:$T$1009*((LEFT($I$3:$I$1009,11)="Chai PET B1")*(LEFT($I14,11)="Chai PET B1"))*($F$3:$F$1009=$F14)*($D$3:$D$1009=$D14)*(($F$3:$F$1009="101423")+($F$3:$F$1009="101787")))</f>
        <v>234042</v>
      </c>
      <c r="M14" s="8">
        <f t="shared" si="1"/>
        <v>500</v>
      </c>
      <c r="N14" s="6" cm="1">
        <f t="array" ref="N14">SUMPRODUCT($T$3:$T$1009*(LEFT(I14,7)="Vảy PET")*((LEFT($I$3:$I$1009,7)="Vảy PET")*($D$3:$D$1009=$D14)*($F$3:$F$1009=$F14)))</f>
        <v>0</v>
      </c>
      <c r="O14" s="11">
        <f t="shared" si="2"/>
        <v>0</v>
      </c>
      <c r="P14" s="11">
        <v>0</v>
      </c>
      <c r="Q14" s="6">
        <v>200</v>
      </c>
      <c r="R14" s="11">
        <f t="shared" si="3"/>
        <v>17200</v>
      </c>
      <c r="S14" s="6">
        <v>17200</v>
      </c>
      <c r="T14" s="6">
        <v>15302</v>
      </c>
      <c r="U14" s="5" t="s">
        <v>46</v>
      </c>
      <c r="W14" s="2">
        <f t="shared" si="4"/>
        <v>0</v>
      </c>
    </row>
    <row r="15" spans="1:23" hidden="1" x14ac:dyDescent="0.35">
      <c r="A15" s="5"/>
      <c r="B15" s="5"/>
      <c r="C15" s="5">
        <v>2025</v>
      </c>
      <c r="D15" s="6">
        <v>4</v>
      </c>
      <c r="E15" s="5" t="s">
        <v>43</v>
      </c>
      <c r="F15" s="5" t="s">
        <v>41</v>
      </c>
      <c r="G15" s="5" t="s">
        <v>42</v>
      </c>
      <c r="H15" s="5" t="s">
        <v>47</v>
      </c>
      <c r="I15" s="5" t="s">
        <v>48</v>
      </c>
      <c r="J15" s="6">
        <v>19700</v>
      </c>
      <c r="K15" s="6">
        <f t="shared" si="0"/>
        <v>19700</v>
      </c>
      <c r="L15" s="7" cm="1">
        <f t="array" ref="L15">SUMPRODUCT($T$3:$T$1009*((LEFT($I$3:$I$1009,11)="Chai PET B3"))*((LEFT($I15,11)="Chai PET B3"))*($F$3:$F$1009=$F15)*($D$3:$D$1009=$D15)*(($F$3:$F$1009="101423")+($F$3:$F$1009="101787"))+$T$3:$T$1009*((LEFT($I$3:$I$1009,11)="Chai PET B1")*(LEFT($I15,11)="Chai PET B1"))*($F$3:$F$1009=$F15)*($D$3:$D$1009=$D15)*(($F$3:$F$1009="101423")+($F$3:$F$1009="101787")))</f>
        <v>0</v>
      </c>
      <c r="M15" s="7">
        <f t="shared" si="1"/>
        <v>0</v>
      </c>
      <c r="N15" s="6" cm="1">
        <f t="array" ref="N15">SUMPRODUCT($T$3:$T$1009*(LEFT(I15,7)="Vảy PET")*((LEFT($I$3:$I$1009,7)="Vảy PET")*($D$3:$D$1009=$D15)*($F$3:$F$1009=$F15)))</f>
        <v>509926</v>
      </c>
      <c r="O15" s="11">
        <f t="shared" si="2"/>
        <v>500</v>
      </c>
      <c r="P15" s="11">
        <v>0</v>
      </c>
      <c r="Q15" s="6">
        <v>700</v>
      </c>
      <c r="R15" s="11">
        <f t="shared" si="3"/>
        <v>20400</v>
      </c>
      <c r="S15" s="6">
        <v>20400</v>
      </c>
      <c r="T15" s="6">
        <v>454522</v>
      </c>
      <c r="U15" s="5"/>
      <c r="W15" s="2">
        <f t="shared" si="4"/>
        <v>0</v>
      </c>
    </row>
    <row r="16" spans="1:23" hidden="1" x14ac:dyDescent="0.35">
      <c r="A16" s="5"/>
      <c r="B16" s="5"/>
      <c r="C16" s="5">
        <v>2025</v>
      </c>
      <c r="D16" s="6">
        <v>4</v>
      </c>
      <c r="E16" s="5" t="s">
        <v>43</v>
      </c>
      <c r="F16" s="5" t="s">
        <v>41</v>
      </c>
      <c r="G16" s="5" t="s">
        <v>42</v>
      </c>
      <c r="H16" s="5" t="s">
        <v>62</v>
      </c>
      <c r="I16" s="5" t="s">
        <v>63</v>
      </c>
      <c r="J16" s="6">
        <v>19200</v>
      </c>
      <c r="K16" s="6">
        <f t="shared" si="0"/>
        <v>19200</v>
      </c>
      <c r="L16" s="7" cm="1">
        <f t="array" ref="L16">SUMPRODUCT($T$3:$T$1009*((LEFT($I$3:$I$1009,11)="Chai PET B3"))*((LEFT($I16,11)="Chai PET B3"))*($F$3:$F$1009=$F16)*($D$3:$D$1009=$D16)*(($F$3:$F$1009="101423")+($F$3:$F$1009="101787"))+$T$3:$T$1009*((LEFT($I$3:$I$1009,11)="Chai PET B1")*(LEFT($I16,11)="Chai PET B1"))*($F$3:$F$1009=$F16)*($D$3:$D$1009=$D16)*(($F$3:$F$1009="101423")+($F$3:$F$1009="101787")))</f>
        <v>0</v>
      </c>
      <c r="M16" s="7">
        <f t="shared" si="1"/>
        <v>0</v>
      </c>
      <c r="N16" s="6" cm="1">
        <f t="array" ref="N16">SUMPRODUCT($T$3:$T$1009*(LEFT(I16,7)="Vảy PET")*((LEFT($I$3:$I$1009,7)="Vảy PET")*($D$3:$D$1009=$D16)*($F$3:$F$1009=$F16)))</f>
        <v>509926</v>
      </c>
      <c r="O16" s="11">
        <f t="shared" si="2"/>
        <v>500</v>
      </c>
      <c r="P16" s="11">
        <v>0</v>
      </c>
      <c r="Q16" s="6">
        <v>700</v>
      </c>
      <c r="R16" s="11">
        <f t="shared" si="3"/>
        <v>19900</v>
      </c>
      <c r="S16" s="6">
        <v>19900</v>
      </c>
      <c r="T16" s="6">
        <v>13266</v>
      </c>
      <c r="U16" s="5"/>
      <c r="W16" s="2">
        <f t="shared" si="4"/>
        <v>0</v>
      </c>
    </row>
    <row r="17" spans="1:23" hidden="1" x14ac:dyDescent="0.35">
      <c r="A17" s="5"/>
      <c r="B17" s="5"/>
      <c r="C17" s="5">
        <v>2025</v>
      </c>
      <c r="D17" s="6">
        <v>4</v>
      </c>
      <c r="E17" s="5" t="s">
        <v>43</v>
      </c>
      <c r="F17" s="5" t="s">
        <v>41</v>
      </c>
      <c r="G17" s="5" t="s">
        <v>42</v>
      </c>
      <c r="H17" s="5" t="s">
        <v>51</v>
      </c>
      <c r="I17" s="5" t="s">
        <v>53</v>
      </c>
      <c r="J17" s="6">
        <v>19200</v>
      </c>
      <c r="K17" s="6">
        <f t="shared" si="0"/>
        <v>19200</v>
      </c>
      <c r="L17" s="7" cm="1">
        <f t="array" ref="L17">SUMPRODUCT($T$3:$T$1009*((LEFT($I$3:$I$1009,11)="Chai PET B3"))*((LEFT($I17,11)="Chai PET B3"))*($F$3:$F$1009=$F17)*($D$3:$D$1009=$D17)*(($F$3:$F$1009="101423")+($F$3:$F$1009="101787"))+$T$3:$T$1009*((LEFT($I$3:$I$1009,11)="Chai PET B1")*(LEFT($I17,11)="Chai PET B1"))*($F$3:$F$1009=$F17)*($D$3:$D$1009=$D17)*(($F$3:$F$1009="101423")+($F$3:$F$1009="101787")))</f>
        <v>0</v>
      </c>
      <c r="M17" s="7">
        <f t="shared" si="1"/>
        <v>0</v>
      </c>
      <c r="N17" s="6" cm="1">
        <f t="array" ref="N17">SUMPRODUCT($T$3:$T$1009*(LEFT(I17,7)="Vảy PET")*((LEFT($I$3:$I$1009,7)="Vảy PET")*($D$3:$D$1009=$D17)*($F$3:$F$1009=$F17)))</f>
        <v>509926</v>
      </c>
      <c r="O17" s="11">
        <f t="shared" si="2"/>
        <v>500</v>
      </c>
      <c r="P17" s="11">
        <v>0</v>
      </c>
      <c r="Q17" s="6">
        <v>700</v>
      </c>
      <c r="R17" s="11">
        <f t="shared" si="3"/>
        <v>19900</v>
      </c>
      <c r="S17" s="6">
        <v>19900</v>
      </c>
      <c r="T17" s="6">
        <v>42138</v>
      </c>
      <c r="U17" s="5"/>
      <c r="W17" s="2">
        <f t="shared" si="4"/>
        <v>0</v>
      </c>
    </row>
    <row r="18" spans="1:23" hidden="1" x14ac:dyDescent="0.35">
      <c r="A18" s="5"/>
      <c r="B18" s="5"/>
      <c r="C18" s="5">
        <v>2025</v>
      </c>
      <c r="D18" s="6">
        <v>4</v>
      </c>
      <c r="E18" s="5" t="s">
        <v>43</v>
      </c>
      <c r="F18" s="5" t="s">
        <v>57</v>
      </c>
      <c r="G18" s="5" t="s">
        <v>58</v>
      </c>
      <c r="H18" s="5" t="s">
        <v>19</v>
      </c>
      <c r="I18" s="5" t="s">
        <v>20</v>
      </c>
      <c r="J18" s="6">
        <v>18000</v>
      </c>
      <c r="K18" s="6">
        <f t="shared" si="0"/>
        <v>18000</v>
      </c>
      <c r="L18" s="7" cm="1">
        <f t="array" ref="L18">SUMPRODUCT($T$3:$T$1009*((LEFT($I$3:$I$1009,11)="Chai PET B3"))*((LEFT($I18,11)="Chai PET B3"))*($F$3:$F$1009=$F18)*($D$3:$D$1009=$D18)*(($F$3:$F$1009="101423")+($F$3:$F$1009="101787"))+$T$3:$T$1009*((LEFT($I$3:$I$1009,11)="Chai PET B1")*(LEFT($I18,11)="Chai PET B1"))*($F$3:$F$1009=$F18)*($D$3:$D$1009=$D18)*(($F$3:$F$1009="101423")+($F$3:$F$1009="101787")))</f>
        <v>277047</v>
      </c>
      <c r="M18" s="8">
        <f t="shared" si="1"/>
        <v>500</v>
      </c>
      <c r="N18" s="6" cm="1">
        <f t="array" ref="N18">SUMPRODUCT($T$3:$T$1009*(LEFT(I18,7)="Vảy PET")*((LEFT($I$3:$I$1009,7)="Vảy PET")*($D$3:$D$1009=$D18)*($F$3:$F$1009=$F18)))</f>
        <v>0</v>
      </c>
      <c r="O18" s="11">
        <f t="shared" si="2"/>
        <v>0</v>
      </c>
      <c r="P18" s="11">
        <v>0</v>
      </c>
      <c r="Q18" s="6">
        <v>200</v>
      </c>
      <c r="R18" s="11">
        <f t="shared" si="3"/>
        <v>18200</v>
      </c>
      <c r="S18" s="6">
        <v>18166.904073730708</v>
      </c>
      <c r="T18" s="6">
        <v>183370</v>
      </c>
      <c r="U18" s="5" t="s">
        <v>44</v>
      </c>
      <c r="W18" s="2">
        <f t="shared" si="4"/>
        <v>33.095926269292249</v>
      </c>
    </row>
    <row r="19" spans="1:23" hidden="1" x14ac:dyDescent="0.35">
      <c r="A19" s="5"/>
      <c r="B19" s="5"/>
      <c r="C19" s="5">
        <v>2025</v>
      </c>
      <c r="D19" s="6">
        <v>4</v>
      </c>
      <c r="E19" s="5" t="s">
        <v>43</v>
      </c>
      <c r="F19" s="5" t="s">
        <v>57</v>
      </c>
      <c r="G19" s="5" t="s">
        <v>58</v>
      </c>
      <c r="H19" s="5" t="s">
        <v>19</v>
      </c>
      <c r="I19" s="9" t="s">
        <v>20</v>
      </c>
      <c r="J19" s="6">
        <v>18000</v>
      </c>
      <c r="K19" s="6">
        <f t="shared" si="0"/>
        <v>17500</v>
      </c>
      <c r="L19" s="7" cm="1">
        <f t="array" ref="L19">SUMPRODUCT($T$3:$T$1009*((LEFT($I$3:$I$1009,11)="Chai PET B3"))*((LEFT($I19,11)="Chai PET B3"))*($F$3:$F$1009=$F19)*($D$3:$D$1009=$D19)*(($F$3:$F$1009="101423")+($F$3:$F$1009="101787"))+$T$3:$T$1009*((LEFT($I$3:$I$1009,11)="Chai PET B1")*(LEFT($I19,11)="Chai PET B1"))*($F$3:$F$1009=$F19)*($D$3:$D$1009=$D19)*(($F$3:$F$1009="101423")+($F$3:$F$1009="101787")))</f>
        <v>277047</v>
      </c>
      <c r="M19" s="8">
        <f t="shared" si="1"/>
        <v>500</v>
      </c>
      <c r="N19" s="6" cm="1">
        <f t="array" ref="N19">SUMPRODUCT($T$3:$T$1009*(LEFT(I19,7)="Vảy PET")*((LEFT($I$3:$I$1009,7)="Vảy PET")*($D$3:$D$1009=$D19)*($F$3:$F$1009=$F19)))</f>
        <v>0</v>
      </c>
      <c r="O19" s="11">
        <f t="shared" si="2"/>
        <v>0</v>
      </c>
      <c r="P19" s="11">
        <v>0</v>
      </c>
      <c r="Q19" s="6">
        <v>200</v>
      </c>
      <c r="R19" s="11">
        <f t="shared" si="3"/>
        <v>17700</v>
      </c>
      <c r="S19" s="6">
        <v>17606.45085365633</v>
      </c>
      <c r="T19" s="6">
        <v>55233</v>
      </c>
      <c r="U19" s="5" t="s">
        <v>45</v>
      </c>
      <c r="W19" s="2">
        <f t="shared" si="4"/>
        <v>93.549146343670145</v>
      </c>
    </row>
    <row r="20" spans="1:23" hidden="1" x14ac:dyDescent="0.35">
      <c r="A20" s="5"/>
      <c r="B20" s="5"/>
      <c r="C20" s="5">
        <v>2025</v>
      </c>
      <c r="D20" s="6">
        <v>4</v>
      </c>
      <c r="E20" s="5" t="s">
        <v>43</v>
      </c>
      <c r="F20" s="5" t="s">
        <v>57</v>
      </c>
      <c r="G20" s="5" t="s">
        <v>58</v>
      </c>
      <c r="H20" s="5" t="s">
        <v>19</v>
      </c>
      <c r="I20" s="5" t="s">
        <v>20</v>
      </c>
      <c r="J20" s="6">
        <v>18000</v>
      </c>
      <c r="K20" s="6">
        <f t="shared" si="0"/>
        <v>17000</v>
      </c>
      <c r="L20" s="7" cm="1">
        <f t="array" ref="L20">SUMPRODUCT($T$3:$T$1009*((LEFT($I$3:$I$1009,11)="Chai PET B3"))*((LEFT($I20,11)="Chai PET B3"))*($F$3:$F$1009=$F20)*($D$3:$D$1009=$D20)*(($F$3:$F$1009="101423")+($F$3:$F$1009="101787"))+$T$3:$T$1009*((LEFT($I$3:$I$1009,11)="Chai PET B1")*(LEFT($I20,11)="Chai PET B1"))*($F$3:$F$1009=$F20)*($D$3:$D$1009=$D20)*(($F$3:$F$1009="101423")+($F$3:$F$1009="101787")))</f>
        <v>277047</v>
      </c>
      <c r="M20" s="8">
        <f t="shared" si="1"/>
        <v>500</v>
      </c>
      <c r="N20" s="6" cm="1">
        <f t="array" ref="N20">SUMPRODUCT($T$3:$T$1009*(LEFT(I20,7)="Vảy PET")*((LEFT($I$3:$I$1009,7)="Vảy PET")*($D$3:$D$1009=$D20)*($F$3:$F$1009=$F20)))</f>
        <v>0</v>
      </c>
      <c r="O20" s="11">
        <f t="shared" si="2"/>
        <v>0</v>
      </c>
      <c r="P20" s="11">
        <v>0</v>
      </c>
      <c r="Q20" s="6">
        <v>200</v>
      </c>
      <c r="R20" s="11">
        <f t="shared" si="3"/>
        <v>17200</v>
      </c>
      <c r="S20" s="6">
        <v>17097.057716436637</v>
      </c>
      <c r="T20" s="6">
        <v>31880</v>
      </c>
      <c r="U20" s="5" t="s">
        <v>37</v>
      </c>
      <c r="W20" s="2">
        <f t="shared" si="4"/>
        <v>102.94228356336316</v>
      </c>
    </row>
    <row r="21" spans="1:23" hidden="1" x14ac:dyDescent="0.35">
      <c r="A21" s="5"/>
      <c r="B21" s="5"/>
      <c r="C21" s="5">
        <v>2025</v>
      </c>
      <c r="D21" s="6">
        <v>4</v>
      </c>
      <c r="E21" s="5" t="s">
        <v>43</v>
      </c>
      <c r="F21" s="5" t="s">
        <v>57</v>
      </c>
      <c r="G21" s="5" t="s">
        <v>58</v>
      </c>
      <c r="H21" s="5" t="s">
        <v>19</v>
      </c>
      <c r="I21" s="5" t="s">
        <v>20</v>
      </c>
      <c r="J21" s="6">
        <v>18000</v>
      </c>
      <c r="K21" s="6">
        <f t="shared" si="0"/>
        <v>16500</v>
      </c>
      <c r="L21" s="7" cm="1">
        <f t="array" ref="L21">SUMPRODUCT($T$3:$T$1009*((LEFT($I$3:$I$1009,11)="Chai PET B3"))*((LEFT($I21,11)="Chai PET B3"))*($F$3:$F$1009=$F21)*($D$3:$D$1009=$D21)*(($F$3:$F$1009="101423")+($F$3:$F$1009="101787"))+$T$3:$T$1009*((LEFT($I$3:$I$1009,11)="Chai PET B1")*(LEFT($I21,11)="Chai PET B1"))*($F$3:$F$1009=$F21)*($D$3:$D$1009=$D21)*(($F$3:$F$1009="101423")+($F$3:$F$1009="101787")))</f>
        <v>277047</v>
      </c>
      <c r="M21" s="8">
        <f t="shared" si="1"/>
        <v>500</v>
      </c>
      <c r="N21" s="6" cm="1">
        <f t="array" ref="N21">SUMPRODUCT($T$3:$T$1009*(LEFT(I21,7)="Vảy PET")*((LEFT($I$3:$I$1009,7)="Vảy PET")*($D$3:$D$1009=$D21)*($F$3:$F$1009=$F21)))</f>
        <v>0</v>
      </c>
      <c r="O21" s="11">
        <f t="shared" si="2"/>
        <v>0</v>
      </c>
      <c r="P21" s="11">
        <v>0</v>
      </c>
      <c r="Q21" s="6">
        <v>200</v>
      </c>
      <c r="R21" s="11">
        <f t="shared" si="3"/>
        <v>16700</v>
      </c>
      <c r="S21" s="6">
        <v>16700</v>
      </c>
      <c r="T21" s="6">
        <v>6564</v>
      </c>
      <c r="U21" s="5" t="s">
        <v>59</v>
      </c>
      <c r="W21" s="2">
        <f t="shared" si="4"/>
        <v>0</v>
      </c>
    </row>
    <row r="22" spans="1:23" hidden="1" x14ac:dyDescent="0.35">
      <c r="A22" s="5"/>
      <c r="B22" s="5"/>
      <c r="C22" s="5">
        <v>2025</v>
      </c>
      <c r="D22" s="6">
        <v>4</v>
      </c>
      <c r="E22" s="5" t="s">
        <v>43</v>
      </c>
      <c r="F22" s="5" t="s">
        <v>60</v>
      </c>
      <c r="G22" s="5" t="s">
        <v>61</v>
      </c>
      <c r="H22" s="5" t="s">
        <v>47</v>
      </c>
      <c r="I22" s="5" t="s">
        <v>48</v>
      </c>
      <c r="J22" s="6">
        <v>19700</v>
      </c>
      <c r="K22" s="6">
        <f t="shared" si="0"/>
        <v>19700</v>
      </c>
      <c r="L22" s="7" cm="1">
        <f t="array" ref="L22">SUMPRODUCT($T$3:$T$1009*((LEFT($I$3:$I$1009,11)="Chai PET B3"))*((LEFT($I22,11)="Chai PET B3"))*($F$3:$F$1009=$F22)*($D$3:$D$1009=$D22)*(($F$3:$F$1009="101423")+($F$3:$F$1009="101787"))+$T$3:$T$1009*((LEFT($I$3:$I$1009,11)="Chai PET B1")*(LEFT($I22,11)="Chai PET B1"))*($F$3:$F$1009=$F22)*($D$3:$D$1009=$D22)*(($F$3:$F$1009="101423")+($F$3:$F$1009="101787")))</f>
        <v>0</v>
      </c>
      <c r="M22" s="8">
        <f t="shared" si="1"/>
        <v>0</v>
      </c>
      <c r="N22" s="6" cm="1">
        <f t="array" ref="N22">SUMPRODUCT($T$3:$T$1009*(LEFT(I22,7)="Vảy PET")*((LEFT($I$3:$I$1009,7)="Vảy PET")*($D$3:$D$1009=$D22)*($F$3:$F$1009=$F22)))</f>
        <v>925392</v>
      </c>
      <c r="O22" s="11">
        <f t="shared" si="2"/>
        <v>500</v>
      </c>
      <c r="P22" s="11">
        <v>0</v>
      </c>
      <c r="Q22" s="6">
        <v>700</v>
      </c>
      <c r="R22" s="11">
        <f t="shared" si="3"/>
        <v>20400</v>
      </c>
      <c r="S22" s="6">
        <v>20179.756319942135</v>
      </c>
      <c r="T22" s="6">
        <v>785292</v>
      </c>
      <c r="U22" s="5"/>
      <c r="W22" s="2">
        <f t="shared" si="4"/>
        <v>220.24368005786528</v>
      </c>
    </row>
    <row r="23" spans="1:23" hidden="1" x14ac:dyDescent="0.35">
      <c r="A23" s="5"/>
      <c r="B23" s="5"/>
      <c r="C23" s="5">
        <v>2025</v>
      </c>
      <c r="D23" s="6">
        <v>4</v>
      </c>
      <c r="E23" s="5" t="s">
        <v>43</v>
      </c>
      <c r="F23" s="5" t="s">
        <v>60</v>
      </c>
      <c r="G23" s="5" t="s">
        <v>61</v>
      </c>
      <c r="H23" s="5" t="s">
        <v>62</v>
      </c>
      <c r="I23" s="5" t="s">
        <v>63</v>
      </c>
      <c r="J23" s="6">
        <f>19200</f>
        <v>19200</v>
      </c>
      <c r="K23" s="6">
        <f t="shared" si="0"/>
        <v>19200</v>
      </c>
      <c r="L23" s="7" cm="1">
        <f t="array" ref="L23">SUMPRODUCT($T$3:$T$1009*((LEFT($I$3:$I$1009,11)="Chai PET B3"))*((LEFT($I23,11)="Chai PET B3"))*($F$3:$F$1009=$F23)*($D$3:$D$1009=$D23)*(($F$3:$F$1009="101423")+($F$3:$F$1009="101787"))+$T$3:$T$1009*((LEFT($I$3:$I$1009,11)="Chai PET B1")*(LEFT($I23,11)="Chai PET B1"))*($F$3:$F$1009=$F23)*($D$3:$D$1009=$D23)*(($F$3:$F$1009="101423")+($F$3:$F$1009="101787")))</f>
        <v>0</v>
      </c>
      <c r="M23" s="8">
        <f t="shared" si="1"/>
        <v>0</v>
      </c>
      <c r="N23" s="6" cm="1">
        <f t="array" ref="N23">SUMPRODUCT($T$3:$T$1009*(LEFT(I23,7)="Vảy PET")*((LEFT($I$3:$I$1009,7)="Vảy PET")*($D$3:$D$1009=$D23)*($F$3:$F$1009=$F23)))</f>
        <v>925392</v>
      </c>
      <c r="O23" s="11">
        <f t="shared" si="2"/>
        <v>500</v>
      </c>
      <c r="P23" s="11">
        <v>0</v>
      </c>
      <c r="Q23" s="6">
        <v>700</v>
      </c>
      <c r="R23" s="11">
        <f t="shared" si="3"/>
        <v>19900</v>
      </c>
      <c r="S23" s="6">
        <v>19900</v>
      </c>
      <c r="T23" s="6">
        <v>82536</v>
      </c>
      <c r="U23" s="5"/>
      <c r="W23" s="2">
        <f t="shared" si="4"/>
        <v>0</v>
      </c>
    </row>
    <row r="24" spans="1:23" hidden="1" x14ac:dyDescent="0.35">
      <c r="A24" s="5"/>
      <c r="B24" s="5"/>
      <c r="C24" s="5">
        <v>2025</v>
      </c>
      <c r="D24" s="6">
        <v>4</v>
      </c>
      <c r="E24" s="5" t="s">
        <v>43</v>
      </c>
      <c r="F24" s="5" t="s">
        <v>60</v>
      </c>
      <c r="G24" s="5" t="s">
        <v>61</v>
      </c>
      <c r="H24" s="5" t="s">
        <v>51</v>
      </c>
      <c r="I24" s="5" t="s">
        <v>52</v>
      </c>
      <c r="J24" s="6">
        <v>19200</v>
      </c>
      <c r="K24" s="6">
        <f t="shared" si="0"/>
        <v>19200</v>
      </c>
      <c r="L24" s="7" cm="1">
        <f t="array" ref="L24">SUMPRODUCT($T$3:$T$1009*((LEFT($I$3:$I$1009,11)="Chai PET B3"))*((LEFT($I24,11)="Chai PET B3"))*($F$3:$F$1009=$F24)*($D$3:$D$1009=$D24)*(($F$3:$F$1009="101423")+($F$3:$F$1009="101787"))+$T$3:$T$1009*((LEFT($I$3:$I$1009,11)="Chai PET B1")*(LEFT($I24,11)="Chai PET B1"))*($F$3:$F$1009=$F24)*($D$3:$D$1009=$D24)*(($F$3:$F$1009="101423")+($F$3:$F$1009="101787")))</f>
        <v>0</v>
      </c>
      <c r="M24" s="8">
        <f t="shared" si="1"/>
        <v>0</v>
      </c>
      <c r="N24" s="6" cm="1">
        <f t="array" ref="N24">SUMPRODUCT($T$3:$T$1009*(LEFT(I24,7)="Vảy PET")*((LEFT($I$3:$I$1009,7)="Vảy PET")*($D$3:$D$1009=$D24)*($F$3:$F$1009=$F24)))</f>
        <v>925392</v>
      </c>
      <c r="O24" s="11">
        <f t="shared" si="2"/>
        <v>500</v>
      </c>
      <c r="P24" s="11">
        <v>0</v>
      </c>
      <c r="Q24" s="6">
        <v>700</v>
      </c>
      <c r="R24" s="11">
        <f t="shared" si="3"/>
        <v>19900</v>
      </c>
      <c r="S24" s="6">
        <v>19900</v>
      </c>
      <c r="T24" s="6">
        <v>57564</v>
      </c>
      <c r="U24" s="5"/>
      <c r="W24" s="2">
        <f t="shared" si="4"/>
        <v>0</v>
      </c>
    </row>
    <row r="25" spans="1:23" hidden="1" x14ac:dyDescent="0.35">
      <c r="A25" s="5"/>
      <c r="B25" s="5"/>
      <c r="C25" s="5">
        <v>2025</v>
      </c>
      <c r="D25" s="6">
        <v>4</v>
      </c>
      <c r="E25" s="5" t="s">
        <v>7</v>
      </c>
      <c r="F25" s="5" t="s">
        <v>64</v>
      </c>
      <c r="G25" s="5" t="s">
        <v>65</v>
      </c>
      <c r="H25" s="5" t="s">
        <v>66</v>
      </c>
      <c r="I25" s="5" t="s">
        <v>67</v>
      </c>
      <c r="J25" s="6">
        <v>18700</v>
      </c>
      <c r="K25" s="6">
        <f t="shared" si="0"/>
        <v>18700</v>
      </c>
      <c r="L25" s="7" cm="1">
        <f t="array" ref="L25">SUMPRODUCT($T$3:$T$1009*((LEFT($I$3:$I$1009,11)="Chai PET B3"))*((LEFT($I25,11)="Chai PET B3"))*($F$3:$F$1009=$F25)*($D$3:$D$1009=$D25)*(($F$3:$F$1009="101423")+($F$3:$F$1009="101787"))+$T$3:$T$1009*((LEFT($I$3:$I$1009,11)="Chai PET B1")*(LEFT($I25,11)="Chai PET B1"))*($F$3:$F$1009=$F25)*($D$3:$D$1009=$D25)*(($F$3:$F$1009="101423")+($F$3:$F$1009="101787")))</f>
        <v>0</v>
      </c>
      <c r="M25" s="8">
        <f t="shared" si="1"/>
        <v>0</v>
      </c>
      <c r="N25" s="6" cm="1">
        <f t="array" ref="N25">SUMPRODUCT($T$3:$T$1009*(LEFT(I25,7)="Vảy PET")*((LEFT($I$3:$I$1009,7)="Vảy PET")*($D$3:$D$1009=$D25)*($F$3:$F$1009=$F25)))</f>
        <v>352275</v>
      </c>
      <c r="O25" s="11">
        <f t="shared" si="2"/>
        <v>300</v>
      </c>
      <c r="P25" s="11">
        <v>0</v>
      </c>
      <c r="Q25" s="6">
        <v>1600</v>
      </c>
      <c r="R25" s="11">
        <f t="shared" si="3"/>
        <v>20300</v>
      </c>
      <c r="S25" s="6">
        <v>19866.9826130154</v>
      </c>
      <c r="T25" s="6">
        <v>352275</v>
      </c>
      <c r="U25" s="5"/>
      <c r="W25" s="2">
        <f t="shared" si="4"/>
        <v>433.01738698460031</v>
      </c>
    </row>
    <row r="26" spans="1:23" hidden="1" x14ac:dyDescent="0.35">
      <c r="A26" s="5"/>
      <c r="B26" s="5"/>
      <c r="C26" s="5">
        <v>2025</v>
      </c>
      <c r="D26" s="6">
        <v>5</v>
      </c>
      <c r="E26" s="5" t="s">
        <v>68</v>
      </c>
      <c r="F26" s="5" t="s">
        <v>41</v>
      </c>
      <c r="G26" s="5" t="s">
        <v>42</v>
      </c>
      <c r="H26" s="5" t="s">
        <v>19</v>
      </c>
      <c r="I26" s="5" t="s">
        <v>20</v>
      </c>
      <c r="J26" s="6">
        <v>17500</v>
      </c>
      <c r="K26" s="6">
        <f t="shared" si="0"/>
        <v>17500</v>
      </c>
      <c r="L26" s="7" cm="1">
        <f t="array" ref="L26">SUMPRODUCT($T$3:$T$1009*((LEFT($I$3:$I$1009,11)="Chai PET B3"))*((LEFT($I26,11)="Chai PET B3"))*($F$3:$F$1009=$F26)*($D$3:$D$1009=$D26)*(($F$3:$F$1009="101423")+($F$3:$F$1009="101787"))+$T$3:$T$1009*((LEFT($I$3:$I$1009,11)="Chai PET B1")*(LEFT($I26,11)="Chai PET B1"))*($F$3:$F$1009=$F26)*($D$3:$D$1009=$D26)*(($F$3:$F$1009="101423")+($F$3:$F$1009="101787")))</f>
        <v>64769</v>
      </c>
      <c r="M26" s="8">
        <f t="shared" si="1"/>
        <v>0</v>
      </c>
      <c r="N26" s="6" cm="1">
        <f t="array" ref="N26">SUMPRODUCT($T$3:$T$1009*(LEFT(I26,7)="Vảy PET")*((LEFT($I$3:$I$1009,7)="Vảy PET")*($D$3:$D$1009=$D26)*($F$3:$F$1009=$F26)))</f>
        <v>0</v>
      </c>
      <c r="O26" s="11">
        <f t="shared" si="2"/>
        <v>0</v>
      </c>
      <c r="P26" s="11">
        <v>0</v>
      </c>
      <c r="Q26" s="6">
        <v>200</v>
      </c>
      <c r="R26" s="11">
        <f t="shared" si="3"/>
        <v>17700</v>
      </c>
      <c r="S26" s="6">
        <v>17700</v>
      </c>
      <c r="T26" s="6">
        <v>54714</v>
      </c>
      <c r="U26" s="5" t="s">
        <v>44</v>
      </c>
      <c r="W26" s="2">
        <f t="shared" si="4"/>
        <v>0</v>
      </c>
    </row>
    <row r="27" spans="1:23" hidden="1" x14ac:dyDescent="0.35">
      <c r="A27" s="5"/>
      <c r="B27" s="5"/>
      <c r="C27" s="5">
        <v>2025</v>
      </c>
      <c r="D27" s="6">
        <v>5</v>
      </c>
      <c r="E27" s="5" t="s">
        <v>68</v>
      </c>
      <c r="F27" s="5" t="s">
        <v>41</v>
      </c>
      <c r="G27" s="5" t="s">
        <v>42</v>
      </c>
      <c r="H27" s="5" t="s">
        <v>19</v>
      </c>
      <c r="I27" s="9" t="s">
        <v>20</v>
      </c>
      <c r="J27" s="6">
        <v>17500</v>
      </c>
      <c r="K27" s="6">
        <f t="shared" si="0"/>
        <v>17000</v>
      </c>
      <c r="L27" s="7" cm="1">
        <f t="array" ref="L27">SUMPRODUCT($T$3:$T$1009*((LEFT($I$3:$I$1009,11)="Chai PET B3"))*((LEFT($I27,11)="Chai PET B3"))*($F$3:$F$1009=$F27)*($D$3:$D$1009=$D27)*(($F$3:$F$1009="101423")+($F$3:$F$1009="101787"))+$T$3:$T$1009*((LEFT($I$3:$I$1009,11)="Chai PET B1")*(LEFT($I27,11)="Chai PET B1"))*($F$3:$F$1009=$F27)*($D$3:$D$1009=$D27)*(($F$3:$F$1009="101423")+($F$3:$F$1009="101787")))</f>
        <v>64769</v>
      </c>
      <c r="M27" s="8">
        <f t="shared" si="1"/>
        <v>0</v>
      </c>
      <c r="N27" s="6" cm="1">
        <f t="array" ref="N27">SUMPRODUCT($T$3:$T$1009*(LEFT(I27,7)="Vảy PET")*((LEFT($I$3:$I$1009,7)="Vảy PET")*($D$3:$D$1009=$D27)*($F$3:$F$1009=$F27)))</f>
        <v>0</v>
      </c>
      <c r="O27" s="11">
        <f t="shared" si="2"/>
        <v>0</v>
      </c>
      <c r="P27" s="11">
        <v>0</v>
      </c>
      <c r="Q27" s="6">
        <v>200</v>
      </c>
      <c r="R27" s="11">
        <f t="shared" si="3"/>
        <v>17200</v>
      </c>
      <c r="S27" s="6">
        <v>17200</v>
      </c>
      <c r="T27" s="6">
        <v>10055</v>
      </c>
      <c r="U27" s="5" t="s">
        <v>36</v>
      </c>
      <c r="W27" s="2">
        <f t="shared" si="4"/>
        <v>0</v>
      </c>
    </row>
    <row r="28" spans="1:23" hidden="1" x14ac:dyDescent="0.35">
      <c r="A28" s="5"/>
      <c r="B28" s="5"/>
      <c r="C28" s="5">
        <v>2025</v>
      </c>
      <c r="D28" s="6">
        <v>5</v>
      </c>
      <c r="E28" s="5" t="s">
        <v>68</v>
      </c>
      <c r="F28" s="5" t="s">
        <v>41</v>
      </c>
      <c r="G28" s="5" t="s">
        <v>42</v>
      </c>
      <c r="H28" s="5" t="s">
        <v>47</v>
      </c>
      <c r="I28" s="5" t="s">
        <v>48</v>
      </c>
      <c r="J28" s="6">
        <v>19000</v>
      </c>
      <c r="K28" s="6">
        <f t="shared" si="0"/>
        <v>19000</v>
      </c>
      <c r="L28" s="7" cm="1">
        <f t="array" ref="L28">SUMPRODUCT($T$3:$T$1009*((LEFT($I$3:$I$1009,11)="Chai PET B3"))*((LEFT($I28,11)="Chai PET B3"))*($F$3:$F$1009=$F28)*($D$3:$D$1009=$D28)*(($F$3:$F$1009="101423")+($F$3:$F$1009="101787"))+$T$3:$T$1009*((LEFT($I$3:$I$1009,11)="Chai PET B1")*(LEFT($I28,11)="Chai PET B1"))*($F$3:$F$1009=$F28)*($D$3:$D$1009=$D28)*(($F$3:$F$1009="101423")+($F$3:$F$1009="101787")))</f>
        <v>0</v>
      </c>
      <c r="M28" s="7">
        <f t="shared" si="1"/>
        <v>0</v>
      </c>
      <c r="N28" s="6" cm="1">
        <f t="array" ref="N28">SUMPRODUCT($T$3:$T$1009*(LEFT(I28,7)="Vảy PET")*((LEFT($I$3:$I$1009,7)="Vảy PET")*($D$3:$D$1009=$D28)*($F$3:$F$1009=$F28)))</f>
        <v>165702</v>
      </c>
      <c r="O28" s="11">
        <f t="shared" si="2"/>
        <v>0</v>
      </c>
      <c r="P28" s="11">
        <v>0</v>
      </c>
      <c r="Q28" s="6">
        <v>500</v>
      </c>
      <c r="R28" s="11">
        <f t="shared" si="3"/>
        <v>19500</v>
      </c>
      <c r="S28" s="6">
        <v>19500</v>
      </c>
      <c r="T28" s="6">
        <v>154576</v>
      </c>
      <c r="U28" s="5"/>
      <c r="W28" s="2">
        <f t="shared" si="4"/>
        <v>0</v>
      </c>
    </row>
    <row r="29" spans="1:23" hidden="1" x14ac:dyDescent="0.35">
      <c r="A29" s="5"/>
      <c r="B29" s="5"/>
      <c r="C29" s="5">
        <v>2025</v>
      </c>
      <c r="D29" s="6">
        <v>5</v>
      </c>
      <c r="E29" s="5" t="s">
        <v>68</v>
      </c>
      <c r="F29" s="5" t="s">
        <v>41</v>
      </c>
      <c r="G29" s="5" t="s">
        <v>42</v>
      </c>
      <c r="H29" s="5" t="s">
        <v>62</v>
      </c>
      <c r="I29" s="5" t="s">
        <v>63</v>
      </c>
      <c r="J29" s="6">
        <v>18500</v>
      </c>
      <c r="K29" s="6">
        <f t="shared" si="0"/>
        <v>18500</v>
      </c>
      <c r="L29" s="7" cm="1">
        <f t="array" ref="L29">SUMPRODUCT($T$3:$T$1009*((LEFT($I$3:$I$1009,11)="Chai PET B3"))*((LEFT($I29,11)="Chai PET B3"))*($F$3:$F$1009=$F29)*($D$3:$D$1009=$D29)*(($F$3:$F$1009="101423")+($F$3:$F$1009="101787"))+$T$3:$T$1009*((LEFT($I$3:$I$1009,11)="Chai PET B1")*(LEFT($I29,11)="Chai PET B1"))*($F$3:$F$1009=$F29)*($D$3:$D$1009=$D29)*(($F$3:$F$1009="101423")+($F$3:$F$1009="101787")))</f>
        <v>0</v>
      </c>
      <c r="M29" s="7">
        <f t="shared" si="1"/>
        <v>0</v>
      </c>
      <c r="N29" s="6" cm="1">
        <f t="array" ref="N29">SUMPRODUCT($T$3:$T$1009*(LEFT(I29,7)="Vảy PET")*((LEFT($I$3:$I$1009,7)="Vảy PET")*($D$3:$D$1009=$D29)*($F$3:$F$1009=$F29)))</f>
        <v>165702</v>
      </c>
      <c r="O29" s="11">
        <f t="shared" si="2"/>
        <v>0</v>
      </c>
      <c r="P29" s="11">
        <v>0</v>
      </c>
      <c r="Q29" s="6">
        <v>500</v>
      </c>
      <c r="R29" s="11">
        <f t="shared" si="3"/>
        <v>19000</v>
      </c>
      <c r="S29" s="6">
        <v>19000</v>
      </c>
      <c r="T29" s="6">
        <v>11126</v>
      </c>
      <c r="U29" s="5"/>
      <c r="W29" s="2">
        <f t="shared" si="4"/>
        <v>0</v>
      </c>
    </row>
    <row r="30" spans="1:23" hidden="1" x14ac:dyDescent="0.35">
      <c r="A30" s="5"/>
      <c r="B30" s="5"/>
      <c r="C30" s="5">
        <v>2025</v>
      </c>
      <c r="D30" s="6">
        <v>5</v>
      </c>
      <c r="E30" s="5" t="s">
        <v>68</v>
      </c>
      <c r="F30" s="5" t="s">
        <v>57</v>
      </c>
      <c r="G30" s="5" t="s">
        <v>58</v>
      </c>
      <c r="H30" s="5" t="s">
        <v>19</v>
      </c>
      <c r="I30" s="5" t="s">
        <v>20</v>
      </c>
      <c r="J30" s="6">
        <v>17500</v>
      </c>
      <c r="K30" s="6">
        <f t="shared" si="0"/>
        <v>17500</v>
      </c>
      <c r="L30" s="7" cm="1">
        <f t="array" ref="L30">SUMPRODUCT($T$3:$T$1009*((LEFT($I$3:$I$1009,11)="Chai PET B3"))*((LEFT($I30,11)="Chai PET B3"))*($F$3:$F$1009=$F30)*($D$3:$D$1009=$D30)*(($F$3:$F$1009="101423")+($F$3:$F$1009="101787"))+$T$3:$T$1009*((LEFT($I$3:$I$1009,11)="Chai PET B1")*(LEFT($I30,11)="Chai PET B1"))*($F$3:$F$1009=$F30)*($D$3:$D$1009=$D30)*(($F$3:$F$1009="101423")+($F$3:$F$1009="101787")))</f>
        <v>50310</v>
      </c>
      <c r="M30" s="8">
        <f t="shared" si="1"/>
        <v>0</v>
      </c>
      <c r="N30" s="6" cm="1">
        <f t="array" ref="N30">SUMPRODUCT($T$3:$T$1009*(LEFT(I30,7)="Vảy PET")*((LEFT($I$3:$I$1009,7)="Vảy PET")*($D$3:$D$1009=$D30)*($F$3:$F$1009=$F30)))</f>
        <v>0</v>
      </c>
      <c r="O30" s="11">
        <f t="shared" si="2"/>
        <v>0</v>
      </c>
      <c r="P30" s="11">
        <v>0</v>
      </c>
      <c r="Q30" s="6">
        <v>200</v>
      </c>
      <c r="R30" s="11">
        <f t="shared" si="3"/>
        <v>17700</v>
      </c>
      <c r="S30" s="6">
        <v>17700</v>
      </c>
      <c r="T30" s="6">
        <v>39347</v>
      </c>
      <c r="U30" s="5" t="s">
        <v>44</v>
      </c>
      <c r="W30" s="2">
        <f t="shared" si="4"/>
        <v>0</v>
      </c>
    </row>
    <row r="31" spans="1:23" hidden="1" x14ac:dyDescent="0.35">
      <c r="A31" s="5"/>
      <c r="B31" s="5"/>
      <c r="C31" s="5">
        <v>2025</v>
      </c>
      <c r="D31" s="6">
        <v>5</v>
      </c>
      <c r="E31" s="5" t="s">
        <v>68</v>
      </c>
      <c r="F31" s="5" t="s">
        <v>57</v>
      </c>
      <c r="G31" s="5" t="s">
        <v>58</v>
      </c>
      <c r="H31" s="5" t="s">
        <v>19</v>
      </c>
      <c r="I31" s="5" t="s">
        <v>20</v>
      </c>
      <c r="J31" s="6">
        <v>17500</v>
      </c>
      <c r="K31" s="6">
        <f t="shared" si="0"/>
        <v>17000</v>
      </c>
      <c r="L31" s="7" cm="1">
        <f t="array" ref="L31">SUMPRODUCT($T$3:$T$1009*((LEFT($I$3:$I$1009,11)="Chai PET B3"))*((LEFT($I31,11)="Chai PET B3"))*($F$3:$F$1009=$F31)*($D$3:$D$1009=$D31)*(($F$3:$F$1009="101423")+($F$3:$F$1009="101787"))+$T$3:$T$1009*((LEFT($I$3:$I$1009,11)="Chai PET B1")*(LEFT($I31,11)="Chai PET B1"))*($F$3:$F$1009=$F31)*($D$3:$D$1009=$D31)*(($F$3:$F$1009="101423")+($F$3:$F$1009="101787")))</f>
        <v>50310</v>
      </c>
      <c r="M31" s="8">
        <f t="shared" si="1"/>
        <v>0</v>
      </c>
      <c r="N31" s="6" cm="1">
        <f t="array" ref="N31">SUMPRODUCT($T$3:$T$1009*(LEFT(I31,7)="Vảy PET")*((LEFT($I$3:$I$1009,7)="Vảy PET")*($D$3:$D$1009=$D31)*($F$3:$F$1009=$F31)))</f>
        <v>0</v>
      </c>
      <c r="O31" s="11">
        <f t="shared" si="2"/>
        <v>0</v>
      </c>
      <c r="P31" s="11">
        <v>0</v>
      </c>
      <c r="Q31" s="6">
        <v>200</v>
      </c>
      <c r="R31" s="11">
        <f t="shared" si="3"/>
        <v>17200</v>
      </c>
      <c r="S31" s="6">
        <v>17200</v>
      </c>
      <c r="T31" s="6">
        <v>10963</v>
      </c>
      <c r="U31" s="5" t="s">
        <v>69</v>
      </c>
      <c r="W31" s="2">
        <f t="shared" si="4"/>
        <v>0</v>
      </c>
    </row>
    <row r="32" spans="1:23" hidden="1" x14ac:dyDescent="0.35">
      <c r="A32" s="5"/>
      <c r="B32" s="5"/>
      <c r="C32" s="5">
        <v>2025</v>
      </c>
      <c r="D32" s="6">
        <v>5</v>
      </c>
      <c r="E32" s="5" t="s">
        <v>7</v>
      </c>
      <c r="F32" s="5" t="s">
        <v>64</v>
      </c>
      <c r="G32" s="5" t="s">
        <v>65</v>
      </c>
      <c r="H32" s="5" t="s">
        <v>66</v>
      </c>
      <c r="I32" s="5" t="s">
        <v>67</v>
      </c>
      <c r="J32" s="6">
        <v>18000</v>
      </c>
      <c r="K32" s="6">
        <f t="shared" si="0"/>
        <v>18000</v>
      </c>
      <c r="L32" s="7" cm="1">
        <f t="array" ref="L32">SUMPRODUCT($T$3:$T$1009*((LEFT($I$3:$I$1009,11)="Chai PET B3"))*((LEFT($I32,11)="Chai PET B3"))*($F$3:$F$1009=$F32)*($D$3:$D$1009=$D32)*(($F$3:$F$1009="101423")+($F$3:$F$1009="101787"))+$T$3:$T$1009*((LEFT($I$3:$I$1009,11)="Chai PET B1")*(LEFT($I32,11)="Chai PET B1"))*($F$3:$F$1009=$F32)*($D$3:$D$1009=$D32)*(($F$3:$F$1009="101423")+($F$3:$F$1009="101787")))</f>
        <v>0</v>
      </c>
      <c r="M32" s="8">
        <f t="shared" si="1"/>
        <v>0</v>
      </c>
      <c r="N32" s="6" cm="1">
        <f t="array" ref="N32">SUMPRODUCT($T$3:$T$1009*(LEFT(I32,7)="Vảy PET")*((LEFT($I$3:$I$1009,7)="Vảy PET")*($D$3:$D$1009=$D32)*($F$3:$F$1009=$F32)))</f>
        <v>296072</v>
      </c>
      <c r="O32" s="11">
        <f t="shared" si="2"/>
        <v>200</v>
      </c>
      <c r="P32" s="11">
        <v>0</v>
      </c>
      <c r="Q32" s="6">
        <v>1800</v>
      </c>
      <c r="R32" s="11">
        <f t="shared" si="3"/>
        <v>19800</v>
      </c>
      <c r="S32" s="6">
        <v>19800</v>
      </c>
      <c r="T32" s="6">
        <v>296072</v>
      </c>
      <c r="U32" s="5"/>
      <c r="W32" s="2">
        <f t="shared" si="4"/>
        <v>0</v>
      </c>
    </row>
    <row r="33" spans="1:23" hidden="1" x14ac:dyDescent="0.35">
      <c r="A33" s="5"/>
      <c r="B33" s="5"/>
      <c r="C33" s="5">
        <v>2025</v>
      </c>
      <c r="D33" s="6">
        <v>6</v>
      </c>
      <c r="E33" s="5" t="s">
        <v>7</v>
      </c>
      <c r="F33" s="5" t="s">
        <v>64</v>
      </c>
      <c r="G33" s="5" t="s">
        <v>65</v>
      </c>
      <c r="H33" s="5" t="s">
        <v>66</v>
      </c>
      <c r="I33" s="5" t="s">
        <v>67</v>
      </c>
      <c r="J33" s="6">
        <v>18500</v>
      </c>
      <c r="K33" s="6">
        <f t="shared" si="0"/>
        <v>18500</v>
      </c>
      <c r="L33" s="7" cm="1">
        <f t="array" ref="L33">SUMPRODUCT($T$3:$T$1009*((LEFT($I$3:$I$1009,11)="Chai PET B3"))*((LEFT($I33,11)="Chai PET B3"))*($F$3:$F$1009=$F33)*($D$3:$D$1009=$D33)*(($F$3:$F$1009="101423")+($F$3:$F$1009="101787"))+$T$3:$T$1009*((LEFT($I$3:$I$1009,11)="Chai PET B1")*(LEFT($I33,11)="Chai PET B1"))*($F$3:$F$1009=$F33)*($D$3:$D$1009=$D33)*(($F$3:$F$1009="101423")+($F$3:$F$1009="101787")))</f>
        <v>0</v>
      </c>
      <c r="M33" s="8">
        <f t="shared" si="1"/>
        <v>0</v>
      </c>
      <c r="N33" s="6" cm="1">
        <f t="array" ref="N33">SUMPRODUCT($T$3:$T$1009*(LEFT(I33,7)="Vảy PET")*((LEFT($I$3:$I$1009,7)="Vảy PET")*($D$3:$D$1009=$D33)*($F$3:$F$1009=$F33)))</f>
        <v>358206</v>
      </c>
      <c r="O33" s="11">
        <f t="shared" si="2"/>
        <v>300</v>
      </c>
      <c r="P33" s="11">
        <v>0</v>
      </c>
      <c r="Q33" s="6">
        <v>1300</v>
      </c>
      <c r="R33" s="11">
        <f t="shared" si="3"/>
        <v>19800</v>
      </c>
      <c r="S33" s="6">
        <v>19800</v>
      </c>
      <c r="T33" s="6">
        <v>358206</v>
      </c>
      <c r="U33" s="5"/>
      <c r="W33" s="2">
        <f t="shared" si="4"/>
        <v>0</v>
      </c>
    </row>
    <row r="34" spans="1:23" hidden="1" x14ac:dyDescent="0.35">
      <c r="A34" s="5"/>
      <c r="B34" s="5"/>
      <c r="C34" s="5">
        <v>2025</v>
      </c>
      <c r="D34" s="6">
        <v>6</v>
      </c>
      <c r="E34" s="5" t="s">
        <v>7</v>
      </c>
      <c r="F34" s="5" t="s">
        <v>70</v>
      </c>
      <c r="G34" s="5" t="s">
        <v>71</v>
      </c>
      <c r="H34" s="5" t="s">
        <v>66</v>
      </c>
      <c r="I34" s="5" t="s">
        <v>67</v>
      </c>
      <c r="J34" s="6">
        <v>18500</v>
      </c>
      <c r="K34" s="6">
        <f t="shared" si="0"/>
        <v>18500</v>
      </c>
      <c r="L34" s="7" cm="1">
        <f t="array" ref="L34">SUMPRODUCT($T$3:$T$1009*((LEFT($I$3:$I$1009,11)="Chai PET B3"))*((LEFT($I34,11)="Chai PET B3"))*($F$3:$F$1009=$F34)*($D$3:$D$1009=$D34)*(($F$3:$F$1009="101423")+($F$3:$F$1009="101787"))+$T$3:$T$1009*((LEFT($I$3:$I$1009,11)="Chai PET B1")*(LEFT($I34,11)="Chai PET B1"))*($F$3:$F$1009=$F34)*($D$3:$D$1009=$D34)*(($F$3:$F$1009="101423")+($F$3:$F$1009="101787")))</f>
        <v>0</v>
      </c>
      <c r="M34" s="8">
        <f t="shared" si="1"/>
        <v>0</v>
      </c>
      <c r="N34" s="6" cm="1">
        <f t="array" ref="N34">SUMPRODUCT($T$3:$T$1009*(LEFT(I34,7)="Vảy PET")*((LEFT($I$3:$I$1009,7)="Vảy PET")*($D$3:$D$1009=$D34)*($F$3:$F$1009=$F34)))</f>
        <v>26132</v>
      </c>
      <c r="O34" s="11">
        <f t="shared" si="2"/>
        <v>0</v>
      </c>
      <c r="P34" s="11">
        <v>0</v>
      </c>
      <c r="Q34" s="6">
        <v>1300</v>
      </c>
      <c r="R34" s="11">
        <f t="shared" si="3"/>
        <v>19800</v>
      </c>
      <c r="S34" s="6">
        <v>19800</v>
      </c>
      <c r="T34" s="6">
        <v>26132</v>
      </c>
      <c r="U34" s="5"/>
      <c r="W34" s="2">
        <f t="shared" si="4"/>
        <v>0</v>
      </c>
    </row>
    <row r="35" spans="1:23" hidden="1" x14ac:dyDescent="0.35">
      <c r="A35" s="5"/>
      <c r="B35" s="5"/>
      <c r="C35" s="5">
        <v>2025</v>
      </c>
      <c r="D35" s="6">
        <v>6</v>
      </c>
      <c r="E35" s="5" t="s">
        <v>7</v>
      </c>
      <c r="F35" s="5" t="s">
        <v>77</v>
      </c>
      <c r="G35" s="5" t="s">
        <v>78</v>
      </c>
      <c r="H35" s="5" t="s">
        <v>66</v>
      </c>
      <c r="I35" s="5" t="s">
        <v>67</v>
      </c>
      <c r="J35" s="6">
        <v>18500</v>
      </c>
      <c r="K35" s="6">
        <f t="shared" ref="K35:K66" si="5">IF(ISNUMBER(SEARCH(2,U35)),J35-500,IF(ISNUMBER(SEARCH(3,U35)),J35-1000,IF(ISNUMBER(SEARCH(4,U35)),J35-1500,J35)))</f>
        <v>18500</v>
      </c>
      <c r="L35" s="7" cm="1">
        <f t="array" ref="L35">SUMPRODUCT($T$3:$T$1009*((LEFT($I$3:$I$1009,11)="Chai PET B3"))*((LEFT($I35,11)="Chai PET B3"))*($F$3:$F$1009=$F35)*($D$3:$D$1009=$D35)*(($F$3:$F$1009="101423")+($F$3:$F$1009="101787"))+$T$3:$T$1009*((LEFT($I$3:$I$1009,11)="Chai PET B1")*(LEFT($I35,11)="Chai PET B1"))*($F$3:$F$1009=$F35)*($D$3:$D$1009=$D35)*(($F$3:$F$1009="101423")+($F$3:$F$1009="101787")))</f>
        <v>0</v>
      </c>
      <c r="M35" s="8">
        <f t="shared" ref="M35" si="6">IF(L35&gt;100000,500,0)</f>
        <v>0</v>
      </c>
      <c r="N35" s="6" cm="1">
        <f t="array" ref="N35">SUMPRODUCT($T$3:$T$1009*(LEFT(I35,7)="Vảy PET")*((LEFT($I$3:$I$1009,7)="Vảy PET")*($D$3:$D$1009=$D35)*($F$3:$F$1009=$F35)))</f>
        <v>14316</v>
      </c>
      <c r="O35" s="11">
        <f t="shared" si="2"/>
        <v>0</v>
      </c>
      <c r="P35" s="11">
        <v>0</v>
      </c>
      <c r="Q35" s="6">
        <v>900</v>
      </c>
      <c r="R35" s="11">
        <f t="shared" si="3"/>
        <v>19400</v>
      </c>
      <c r="S35" s="6">
        <v>19400</v>
      </c>
      <c r="T35" s="6">
        <v>14316</v>
      </c>
      <c r="U35" s="5"/>
      <c r="W35" s="2">
        <f t="shared" si="4"/>
        <v>0</v>
      </c>
    </row>
    <row r="36" spans="1:23" hidden="1" x14ac:dyDescent="0.35">
      <c r="A36" s="5"/>
      <c r="B36" s="5"/>
      <c r="C36" s="5">
        <v>2025</v>
      </c>
      <c r="D36" s="6">
        <v>6</v>
      </c>
      <c r="E36" s="5" t="s">
        <v>7</v>
      </c>
      <c r="F36" s="5" t="s">
        <v>79</v>
      </c>
      <c r="G36" s="5" t="s">
        <v>80</v>
      </c>
      <c r="H36" s="5" t="s">
        <v>66</v>
      </c>
      <c r="I36" s="5" t="s">
        <v>67</v>
      </c>
      <c r="J36" s="6">
        <v>18500</v>
      </c>
      <c r="K36" s="6">
        <f t="shared" si="5"/>
        <v>18500</v>
      </c>
      <c r="L36" s="7" cm="1">
        <f t="array" ref="L36">SUMPRODUCT($T$3:$T$1009*((LEFT($I$3:$I$1009,11)="Chai PET B3"))*((LEFT($I36,11)="Chai PET B3"))*($F$3:$F$1009=$F36)*($D$3:$D$1009=$D36)*(($F$3:$F$1009="101423")+($F$3:$F$1009="101787"))+$T$3:$T$1009*((LEFT($I$3:$I$1009,11)="Chai PET B1")*(LEFT($I36,11)="Chai PET B1"))*($F$3:$F$1009=$F36)*($D$3:$D$1009=$D36)*(($F$3:$F$1009="101423")+($F$3:$F$1009="101787")))</f>
        <v>0</v>
      </c>
      <c r="M36" s="8">
        <f t="shared" ref="M36" si="7">IF(L36&gt;100000,500,0)</f>
        <v>0</v>
      </c>
      <c r="N36" s="6" cm="1">
        <f t="array" ref="N36">SUMPRODUCT($T$3:$T$1009*(LEFT(I36,7)="Vảy PET")*((LEFT($I$3:$I$1009,7)="Vảy PET")*($D$3:$D$1009=$D36)*($F$3:$F$1009=$F36)))</f>
        <v>16200</v>
      </c>
      <c r="O36" s="11">
        <f t="shared" si="2"/>
        <v>0</v>
      </c>
      <c r="P36" s="11">
        <v>0</v>
      </c>
      <c r="Q36" s="6">
        <f>900-200</f>
        <v>700</v>
      </c>
      <c r="R36" s="11">
        <f t="shared" si="3"/>
        <v>19200</v>
      </c>
      <c r="S36" s="6">
        <v>19200</v>
      </c>
      <c r="T36" s="6">
        <v>16200</v>
      </c>
      <c r="U36" s="5"/>
      <c r="W36" s="2">
        <f t="shared" si="4"/>
        <v>0</v>
      </c>
    </row>
    <row r="37" spans="1:23" ht="15" hidden="1" customHeight="1" x14ac:dyDescent="0.35">
      <c r="A37" s="5"/>
      <c r="B37" s="5"/>
      <c r="C37" s="5">
        <v>2025</v>
      </c>
      <c r="D37" s="6">
        <v>6</v>
      </c>
      <c r="E37" s="5" t="s">
        <v>68</v>
      </c>
      <c r="F37" s="5" t="s">
        <v>41</v>
      </c>
      <c r="G37" s="5" t="s">
        <v>42</v>
      </c>
      <c r="H37" s="5" t="s">
        <v>19</v>
      </c>
      <c r="I37" s="5" t="s">
        <v>20</v>
      </c>
      <c r="J37" s="6">
        <v>17500</v>
      </c>
      <c r="K37" s="6">
        <f t="shared" si="5"/>
        <v>17500</v>
      </c>
      <c r="L37" s="7" cm="1">
        <f t="array" ref="L37">SUMPRODUCT($T$3:$T$1009*((LEFT($I$3:$I$1009,11)="Chai PET B3"))*((LEFT($I37,11)="Chai PET B3"))*($F$3:$F$1009=$F37)*($D$3:$D$1009=$D37)*(($F$3:$F$1009="101423")+($F$3:$F$1009="101787"))+$T$3:$T$1009*((LEFT($I$3:$I$1009,11)="Chai PET B1")*(LEFT($I37,11)="Chai PET B1"))*($F$3:$F$1009=$F37)*($D$3:$D$1009=$D37)*(($F$3:$F$1009="101423")+($F$3:$F$1009="101787")))</f>
        <v>109749</v>
      </c>
      <c r="M37" s="8">
        <f t="shared" si="1"/>
        <v>500</v>
      </c>
      <c r="N37" s="6" cm="1">
        <f t="array" ref="N37">SUMPRODUCT($T$3:$T$1009*(LEFT(I37,7)="Vảy PET")*((LEFT($I$3:$I$1009,7)="Vảy PET")*($D$3:$D$1009=$D37)*($F$3:$F$1009=$F37)))</f>
        <v>0</v>
      </c>
      <c r="O37" s="11">
        <f t="shared" si="2"/>
        <v>0</v>
      </c>
      <c r="P37" s="11">
        <v>0</v>
      </c>
      <c r="Q37" s="6">
        <v>700</v>
      </c>
      <c r="R37" s="11">
        <f t="shared" si="3"/>
        <v>18200</v>
      </c>
      <c r="S37" s="6">
        <v>18200</v>
      </c>
      <c r="T37" s="6">
        <v>108901</v>
      </c>
      <c r="U37" s="5" t="s">
        <v>44</v>
      </c>
      <c r="W37" s="2">
        <f t="shared" si="4"/>
        <v>0</v>
      </c>
    </row>
    <row r="38" spans="1:23" hidden="1" x14ac:dyDescent="0.35">
      <c r="A38" s="5"/>
      <c r="B38" s="5"/>
      <c r="C38" s="5">
        <v>2025</v>
      </c>
      <c r="D38" s="6">
        <v>6</v>
      </c>
      <c r="E38" s="5" t="s">
        <v>68</v>
      </c>
      <c r="F38" s="5" t="s">
        <v>41</v>
      </c>
      <c r="G38" s="5" t="s">
        <v>42</v>
      </c>
      <c r="H38" s="5" t="s">
        <v>19</v>
      </c>
      <c r="I38" s="5" t="s">
        <v>20</v>
      </c>
      <c r="J38" s="6">
        <v>17500</v>
      </c>
      <c r="K38" s="6">
        <f t="shared" si="5"/>
        <v>17000</v>
      </c>
      <c r="L38" s="7" cm="1">
        <f t="array" ref="L38">SUMPRODUCT($T$3:$T$1009*((LEFT($I$3:$I$1009,11)="Chai PET B3"))*((LEFT($I38,11)="Chai PET B3"))*($F$3:$F$1009=$F38)*($D$3:$D$1009=$D38)*(($F$3:$F$1009="101423")+($F$3:$F$1009="101787"))+$T$3:$T$1009*((LEFT($I$3:$I$1009,11)="Chai PET B1")*(LEFT($I38,11)="Chai PET B1"))*($F$3:$F$1009=$F38)*($D$3:$D$1009=$D38)*(($F$3:$F$1009="101423")+($F$3:$F$1009="101787")))</f>
        <v>109749</v>
      </c>
      <c r="M38" s="8">
        <f t="shared" si="1"/>
        <v>500</v>
      </c>
      <c r="N38" s="6" cm="1">
        <f t="array" ref="N38">SUMPRODUCT($T$3:$T$1009*(LEFT(I38,7)="Vảy PET")*((LEFT($I$3:$I$1009,7)="Vảy PET")*($D$3:$D$1009=$D38)*($F$3:$F$1009=$F38)))</f>
        <v>0</v>
      </c>
      <c r="O38" s="11">
        <f t="shared" si="2"/>
        <v>0</v>
      </c>
      <c r="P38" s="11">
        <v>0</v>
      </c>
      <c r="Q38" s="6">
        <v>700</v>
      </c>
      <c r="R38" s="11">
        <f t="shared" si="3"/>
        <v>17700</v>
      </c>
      <c r="S38" s="6">
        <v>17700</v>
      </c>
      <c r="T38" s="6">
        <v>848</v>
      </c>
      <c r="U38" s="5" t="s">
        <v>45</v>
      </c>
      <c r="W38" s="2">
        <f t="shared" si="4"/>
        <v>0</v>
      </c>
    </row>
    <row r="39" spans="1:23" hidden="1" x14ac:dyDescent="0.35">
      <c r="A39" s="5"/>
      <c r="B39" s="5"/>
      <c r="C39" s="5">
        <v>2025</v>
      </c>
      <c r="D39" s="6">
        <v>6</v>
      </c>
      <c r="E39" s="5" t="s">
        <v>68</v>
      </c>
      <c r="F39" s="5" t="s">
        <v>57</v>
      </c>
      <c r="G39" s="5" t="s">
        <v>58</v>
      </c>
      <c r="H39" s="5" t="s">
        <v>19</v>
      </c>
      <c r="I39" s="5" t="s">
        <v>20</v>
      </c>
      <c r="J39" s="6">
        <v>17500</v>
      </c>
      <c r="K39" s="6">
        <f t="shared" si="5"/>
        <v>17500</v>
      </c>
      <c r="L39" s="7" cm="1">
        <f t="array" ref="L39">SUMPRODUCT($T$3:$T$1009*((LEFT($I$3:$I$1009,11)="Chai PET B3"))*((LEFT($I39,11)="Chai PET B3"))*($F$3:$F$1009=$F39)*($D$3:$D$1009=$D39)*(($F$3:$F$1009="101423")+($F$3:$F$1009="101787"))+$T$3:$T$1009*((LEFT($I$3:$I$1009,11)="Chai PET B1")*(LEFT($I39,11)="Chai PET B1"))*($F$3:$F$1009=$F39)*($D$3:$D$1009=$D39)*(($F$3:$F$1009="101423")+($F$3:$F$1009="101787")))</f>
        <v>68168</v>
      </c>
      <c r="M39" s="8">
        <f t="shared" ref="M39:M40" si="8">IF(L39&gt;100000,500,0)</f>
        <v>0</v>
      </c>
      <c r="N39" s="6" cm="1">
        <f t="array" ref="N39">SUMPRODUCT($T$3:$T$1009*(LEFT(I39,7)="Vảy PET")*((LEFT($I$3:$I$1009,7)="Vảy PET")*($D$3:$D$1009=$D39)*($F$3:$F$1009=$F39)))</f>
        <v>0</v>
      </c>
      <c r="O39" s="11">
        <f t="shared" si="2"/>
        <v>0</v>
      </c>
      <c r="P39" s="11">
        <v>0</v>
      </c>
      <c r="Q39" s="6">
        <v>700</v>
      </c>
      <c r="R39" s="11">
        <f t="shared" si="3"/>
        <v>18200</v>
      </c>
      <c r="S39" s="6">
        <v>18200</v>
      </c>
      <c r="T39" s="6">
        <v>68168</v>
      </c>
      <c r="U39" s="5" t="s">
        <v>44</v>
      </c>
      <c r="W39" s="2">
        <f t="shared" si="4"/>
        <v>0</v>
      </c>
    </row>
    <row r="40" spans="1:23" hidden="1" x14ac:dyDescent="0.35">
      <c r="A40" s="5"/>
      <c r="B40" s="5"/>
      <c r="C40" s="5">
        <v>2025</v>
      </c>
      <c r="D40" s="6">
        <v>6</v>
      </c>
      <c r="E40" s="5" t="s">
        <v>68</v>
      </c>
      <c r="F40" s="5" t="s">
        <v>41</v>
      </c>
      <c r="G40" s="5" t="s">
        <v>42</v>
      </c>
      <c r="H40" s="5" t="s">
        <v>47</v>
      </c>
      <c r="I40" s="5" t="s">
        <v>48</v>
      </c>
      <c r="J40" s="6">
        <v>19500</v>
      </c>
      <c r="K40" s="6">
        <f t="shared" si="5"/>
        <v>19500</v>
      </c>
      <c r="L40" s="7" cm="1">
        <f t="array" ref="L40">SUMPRODUCT($T$3:$T$1009*((LEFT($I$3:$I$1009,11)="Chai PET B3"))*((LEFT($I40,11)="Chai PET B3"))*($F$3:$F$1009=$F40)*($D$3:$D$1009=$D40)*(($F$3:$F$1009="101423")+($F$3:$F$1009="101787"))+$T$3:$T$1009*((LEFT($I$3:$I$1009,11)="Chai PET B1")*(LEFT($I40,11)="Chai PET B1"))*($F$3:$F$1009=$F40)*($D$3:$D$1009=$D40)*(($F$3:$F$1009="101423")+($F$3:$F$1009="101787")))</f>
        <v>0</v>
      </c>
      <c r="M40" s="7">
        <f t="shared" si="8"/>
        <v>0</v>
      </c>
      <c r="N40" s="6" cm="1">
        <f t="array" ref="N40">SUMPRODUCT($T$3:$T$1009*(LEFT(I40,7)="Vảy PET")*((LEFT($I$3:$I$1009,7)="Vảy PET")*($D$3:$D$1009=$D40)*($F$3:$F$1009=$F40)))</f>
        <v>373318</v>
      </c>
      <c r="O40" s="11">
        <f t="shared" si="2"/>
        <v>300</v>
      </c>
      <c r="P40" s="11">
        <v>0</v>
      </c>
      <c r="Q40" s="6">
        <v>1000</v>
      </c>
      <c r="R40" s="11">
        <f t="shared" si="3"/>
        <v>20500</v>
      </c>
      <c r="S40" s="6">
        <v>20500</v>
      </c>
      <c r="T40" s="6">
        <v>373318</v>
      </c>
      <c r="U40" s="5"/>
      <c r="W40" s="2">
        <f t="shared" si="4"/>
        <v>0</v>
      </c>
    </row>
    <row r="41" spans="1:23" hidden="1" x14ac:dyDescent="0.35">
      <c r="A41" s="5"/>
      <c r="B41" s="5"/>
      <c r="C41" s="5">
        <v>2025</v>
      </c>
      <c r="D41" s="6">
        <v>6</v>
      </c>
      <c r="E41" s="5" t="s">
        <v>68</v>
      </c>
      <c r="F41" s="5" t="s">
        <v>74</v>
      </c>
      <c r="G41" s="5" t="s">
        <v>75</v>
      </c>
      <c r="H41" s="5" t="s">
        <v>47</v>
      </c>
      <c r="I41" s="5" t="s">
        <v>48</v>
      </c>
      <c r="J41" s="6">
        <v>19500</v>
      </c>
      <c r="K41" s="6">
        <f t="shared" si="5"/>
        <v>19500</v>
      </c>
      <c r="L41" s="7" cm="1">
        <f t="array" ref="L41">SUMPRODUCT($T$3:$T$1009*((LEFT($I$3:$I$1009,11)="Chai PET B3"))*((LEFT($I41,11)="Chai PET B3"))*($F$3:$F$1009=$F41)*($D$3:$D$1009=$D41)*(($F$3:$F$1009="101423")+($F$3:$F$1009="101787"))+$T$3:$T$1009*((LEFT($I$3:$I$1009,11)="Chai PET B1")*(LEFT($I41,11)="Chai PET B1"))*($F$3:$F$1009=$F41)*($D$3:$D$1009=$D41)*(($F$3:$F$1009="101423")+($F$3:$F$1009="101787")))</f>
        <v>0</v>
      </c>
      <c r="M41" s="7">
        <f t="shared" ref="M41" si="9">IF(L41&gt;100000,500,0)</f>
        <v>0</v>
      </c>
      <c r="N41" s="6" cm="1">
        <f t="array" ref="N41">SUMPRODUCT($T$3:$T$1009*(LEFT(I41,7)="Vảy PET")*((LEFT($I$3:$I$1009,7)="Vảy PET")*($D$3:$D$1009=$D41)*($F$3:$F$1009=$F41)))</f>
        <v>91792</v>
      </c>
      <c r="O41" s="11">
        <f t="shared" si="2"/>
        <v>0</v>
      </c>
      <c r="P41" s="11">
        <v>0</v>
      </c>
      <c r="Q41" s="6">
        <v>1000</v>
      </c>
      <c r="R41" s="11">
        <f t="shared" si="3"/>
        <v>20500</v>
      </c>
      <c r="S41" s="6">
        <v>19995.776388118411</v>
      </c>
      <c r="T41" s="6">
        <v>79316</v>
      </c>
      <c r="U41" s="5"/>
      <c r="W41" s="2">
        <f t="shared" si="4"/>
        <v>504.22361188158902</v>
      </c>
    </row>
    <row r="42" spans="1:23" hidden="1" x14ac:dyDescent="0.35">
      <c r="A42" s="5"/>
      <c r="B42" s="5"/>
      <c r="C42" s="5">
        <v>2025</v>
      </c>
      <c r="D42" s="6">
        <v>6</v>
      </c>
      <c r="E42" s="5" t="s">
        <v>68</v>
      </c>
      <c r="F42" s="5" t="s">
        <v>74</v>
      </c>
      <c r="G42" s="5" t="s">
        <v>75</v>
      </c>
      <c r="H42" s="5" t="s">
        <v>62</v>
      </c>
      <c r="I42" s="5" t="s">
        <v>63</v>
      </c>
      <c r="J42" s="6">
        <v>19000</v>
      </c>
      <c r="K42" s="6">
        <f t="shared" si="5"/>
        <v>19000</v>
      </c>
      <c r="L42" s="7" cm="1">
        <f t="array" ref="L42">SUMPRODUCT($T$3:$T$1009*((LEFT($I$3:$I$1009,11)="Chai PET B3"))*((LEFT($I42,11)="Chai PET B3"))*($F$3:$F$1009=$F42)*($D$3:$D$1009=$D42)*(($F$3:$F$1009="101423")+($F$3:$F$1009="101787"))+$T$3:$T$1009*((LEFT($I$3:$I$1009,11)="Chai PET B1")*(LEFT($I42,11)="Chai PET B1"))*($F$3:$F$1009=$F42)*($D$3:$D$1009=$D42)*(($F$3:$F$1009="101423")+($F$3:$F$1009="101787")))</f>
        <v>0</v>
      </c>
      <c r="M42" s="7">
        <f t="shared" ref="M42:M43" si="10">IF(L42&gt;100000,500,0)</f>
        <v>0</v>
      </c>
      <c r="N42" s="6" cm="1">
        <f t="array" ref="N42">SUMPRODUCT($T$3:$T$1009*(LEFT(I42,7)="Vảy PET")*((LEFT($I$3:$I$1009,7)="Vảy PET")*($D$3:$D$1009=$D42)*($F$3:$F$1009=$F42)))</f>
        <v>91792</v>
      </c>
      <c r="O42" s="11">
        <f t="shared" si="2"/>
        <v>0</v>
      </c>
      <c r="P42" s="11">
        <v>0</v>
      </c>
      <c r="Q42" s="6">
        <v>1000</v>
      </c>
      <c r="R42" s="11">
        <f t="shared" si="3"/>
        <v>20000</v>
      </c>
      <c r="S42" s="6">
        <v>20000</v>
      </c>
      <c r="T42" s="6">
        <v>12476</v>
      </c>
      <c r="U42" s="5"/>
      <c r="W42" s="2">
        <f t="shared" si="4"/>
        <v>0</v>
      </c>
    </row>
    <row r="43" spans="1:23" hidden="1" x14ac:dyDescent="0.35">
      <c r="A43" s="5"/>
      <c r="B43" s="5"/>
      <c r="C43" s="5">
        <v>2025</v>
      </c>
      <c r="D43" s="6">
        <v>6</v>
      </c>
      <c r="E43" s="5" t="s">
        <v>68</v>
      </c>
      <c r="F43" s="5" t="s">
        <v>60</v>
      </c>
      <c r="G43" s="5" t="s">
        <v>61</v>
      </c>
      <c r="H43" s="5" t="s">
        <v>47</v>
      </c>
      <c r="I43" s="5" t="s">
        <v>48</v>
      </c>
      <c r="J43" s="6">
        <v>19500</v>
      </c>
      <c r="K43" s="6">
        <f t="shared" si="5"/>
        <v>19500</v>
      </c>
      <c r="L43" s="7" cm="1">
        <f t="array" ref="L43">SUMPRODUCT($T$3:$T$1009*((LEFT($I$3:$I$1009,11)="Chai PET B3"))*((LEFT($I43,11)="Chai PET B3"))*($F$3:$F$1009=$F43)*($D$3:$D$1009=$D43)*(($F$3:$F$1009="101423")+($F$3:$F$1009="101787"))+$T$3:$T$1009*((LEFT($I$3:$I$1009,11)="Chai PET B1")*(LEFT($I43,11)="Chai PET B1"))*($F$3:$F$1009=$F43)*($D$3:$D$1009=$D43)*(($F$3:$F$1009="101423")+($F$3:$F$1009="101787")))</f>
        <v>0</v>
      </c>
      <c r="M43" s="7">
        <f t="shared" si="10"/>
        <v>0</v>
      </c>
      <c r="N43" s="6" cm="1">
        <f t="array" ref="N43">SUMPRODUCT($T$3:$T$1009*(LEFT(I43,7)="Vảy PET")*((LEFT($I$3:$I$1009,7)="Vảy PET")*($D$3:$D$1009=$D43)*($F$3:$F$1009=$F43)))</f>
        <v>207370</v>
      </c>
      <c r="O43" s="11">
        <f t="shared" si="2"/>
        <v>200</v>
      </c>
      <c r="P43" s="11">
        <v>0</v>
      </c>
      <c r="Q43" s="6">
        <v>1000</v>
      </c>
      <c r="R43" s="11">
        <f t="shared" si="3"/>
        <v>20500</v>
      </c>
      <c r="S43" s="6">
        <v>20500</v>
      </c>
      <c r="T43" s="6">
        <v>207370</v>
      </c>
      <c r="U43" s="5"/>
      <c r="W43" s="2">
        <f t="shared" si="4"/>
        <v>0</v>
      </c>
    </row>
    <row r="44" spans="1:23" x14ac:dyDescent="0.35">
      <c r="A44" s="5"/>
      <c r="B44" s="5"/>
      <c r="C44" s="5">
        <v>2025</v>
      </c>
      <c r="D44" s="6">
        <v>1</v>
      </c>
      <c r="E44" s="5" t="s">
        <v>82</v>
      </c>
      <c r="F44" s="5" t="s">
        <v>57</v>
      </c>
      <c r="G44" s="5" t="s">
        <v>58</v>
      </c>
      <c r="H44" s="5" t="s">
        <v>19</v>
      </c>
      <c r="I44" s="5" t="s">
        <v>20</v>
      </c>
      <c r="J44" s="6">
        <v>16800</v>
      </c>
      <c r="K44" s="6">
        <f t="shared" si="5"/>
        <v>16800</v>
      </c>
      <c r="L44" s="7" cm="1">
        <f t="array" ref="L44">SUMPRODUCT($T$3:$T$1009*((LEFT($I$3:$I$1009,11)="Chai PET B3"))*((LEFT($I44,11)="Chai PET B3"))*($F$3:$F$1009=$F44)*($D$3:$D$1009=$D44)*(($F$3:$F$1009="101423")+($F$3:$F$1009="101787"))+$T$3:$T$1009*((LEFT($I$3:$I$1009,11)="Chai PET B1")*(LEFT($I44,11)="Chai PET B1"))*($F$3:$F$1009=$F44)*($D$3:$D$1009=$D44)*(($F$3:$F$1009="101423")+($F$3:$F$1009="101787")))</f>
        <v>58676</v>
      </c>
      <c r="M44" s="7">
        <f t="shared" ref="M44:M49" si="11">IF(L44&gt;100000,500,0)</f>
        <v>0</v>
      </c>
      <c r="N44" s="6" cm="1">
        <f t="array" ref="N44">SUMPRODUCT($T$3:$T$1009*(LEFT(I44,7)="Vảy PET")*((LEFT($I$3:$I$1009,7)="Vảy PET")*($D$3:$D$1009=$D44)*($F$3:$F$1009=$F44)))</f>
        <v>0</v>
      </c>
      <c r="O44" s="11">
        <f t="shared" si="2"/>
        <v>0</v>
      </c>
      <c r="P44" s="6">
        <v>200</v>
      </c>
      <c r="Q44" s="6">
        <v>0</v>
      </c>
      <c r="R44" s="11">
        <f t="shared" si="3"/>
        <v>16800</v>
      </c>
      <c r="S44" s="6">
        <v>16800</v>
      </c>
      <c r="T44" s="6">
        <v>58676</v>
      </c>
      <c r="U44" s="5"/>
      <c r="W44" s="2">
        <f t="shared" si="4"/>
        <v>0</v>
      </c>
    </row>
    <row r="45" spans="1:23" x14ac:dyDescent="0.35">
      <c r="A45" s="5"/>
      <c r="B45" s="5"/>
      <c r="C45" s="5">
        <v>2025</v>
      </c>
      <c r="D45" s="6">
        <v>1</v>
      </c>
      <c r="E45" s="5" t="s">
        <v>82</v>
      </c>
      <c r="F45" s="5" t="s">
        <v>41</v>
      </c>
      <c r="G45" s="5" t="s">
        <v>42</v>
      </c>
      <c r="H45" s="5" t="s">
        <v>19</v>
      </c>
      <c r="I45" s="5" t="s">
        <v>20</v>
      </c>
      <c r="J45" s="6">
        <v>16800</v>
      </c>
      <c r="K45" s="6">
        <f t="shared" si="5"/>
        <v>16800</v>
      </c>
      <c r="L45" s="7" cm="1">
        <f t="array" ref="L45">SUMPRODUCT($T$3:$T$1009*((LEFT($I$3:$I$1009,11)="Chai PET B3"))*((LEFT($I45,11)="Chai PET B3"))*($F$3:$F$1009=$F45)*($D$3:$D$1009=$D45)*(($F$3:$F$1009="101423")+($F$3:$F$1009="101787"))+$T$3:$T$1009*((LEFT($I$3:$I$1009,11)="Chai PET B1")*(LEFT($I45,11)="Chai PET B1"))*($F$3:$F$1009=$F45)*($D$3:$D$1009=$D45)*(($F$3:$F$1009="101423")+($F$3:$F$1009="101787")))</f>
        <v>57111</v>
      </c>
      <c r="M45" s="7">
        <f t="shared" si="11"/>
        <v>0</v>
      </c>
      <c r="N45" s="6" cm="1">
        <f t="array" ref="N45">SUMPRODUCT($T$3:$T$1009*(LEFT(I45,7)="Vảy PET")*((LEFT($I$3:$I$1009,7)="Vảy PET")*($D$3:$D$1009=$D45)*($F$3:$F$1009=$F45)))</f>
        <v>0</v>
      </c>
      <c r="O45" s="11">
        <f t="shared" si="2"/>
        <v>0</v>
      </c>
      <c r="P45" s="6">
        <v>200</v>
      </c>
      <c r="Q45" s="6">
        <v>0</v>
      </c>
      <c r="R45" s="11">
        <f t="shared" ref="R45" si="12">K45+Q45</f>
        <v>16800</v>
      </c>
      <c r="S45" s="6">
        <v>16800</v>
      </c>
      <c r="T45" s="6">
        <v>57111</v>
      </c>
      <c r="U45" s="5"/>
      <c r="W45" s="2">
        <f t="shared" si="4"/>
        <v>0</v>
      </c>
    </row>
    <row r="46" spans="1:23" x14ac:dyDescent="0.35">
      <c r="A46" s="5"/>
      <c r="B46" s="5"/>
      <c r="C46" s="5">
        <v>2025</v>
      </c>
      <c r="D46" s="6">
        <v>1</v>
      </c>
      <c r="E46" s="5" t="s">
        <v>82</v>
      </c>
      <c r="F46" s="5" t="s">
        <v>38</v>
      </c>
      <c r="G46" s="5" t="s">
        <v>39</v>
      </c>
      <c r="H46" s="5" t="s">
        <v>26</v>
      </c>
      <c r="I46" s="5" t="s">
        <v>27</v>
      </c>
      <c r="J46" s="6">
        <v>15800</v>
      </c>
      <c r="K46" s="6">
        <f t="shared" si="5"/>
        <v>15800</v>
      </c>
      <c r="L46" s="7" cm="1">
        <f t="array" ref="L46">SUMPRODUCT($T$3:$T$1009*((LEFT($I$3:$I$1009,11)="Chai PET B3"))*((LEFT($I46,11)="Chai PET B3"))*($F$3:$F$1009=$F46)*($D$3:$D$1009=$D46)*(($F$3:$F$1009="101423")+($F$3:$F$1009="101787"))+$T$3:$T$1009*((LEFT($I$3:$I$1009,11)="Chai PET B1")*(LEFT($I46,11)="Chai PET B1"))*($F$3:$F$1009=$F46)*($D$3:$D$1009=$D46)*(($F$3:$F$1009="101423")+($F$3:$F$1009="101787")))</f>
        <v>0</v>
      </c>
      <c r="M46" s="7">
        <f t="shared" si="11"/>
        <v>0</v>
      </c>
      <c r="N46" s="6" cm="1">
        <f t="array" ref="N46">SUMPRODUCT($T$3:$T$1009*(LEFT(I46,7)="Vảy PET")*((LEFT($I$3:$I$1009,7)="Vảy PET")*($D$3:$D$1009=$D46)*($F$3:$F$1009=$F46)))</f>
        <v>0</v>
      </c>
      <c r="O46" s="11">
        <f t="shared" si="2"/>
        <v>0</v>
      </c>
      <c r="P46" s="6">
        <v>200</v>
      </c>
      <c r="Q46" s="6">
        <v>0</v>
      </c>
      <c r="R46" s="11">
        <f t="shared" ref="R46" si="13">K46+Q46</f>
        <v>15800</v>
      </c>
      <c r="S46" s="6">
        <v>15800</v>
      </c>
      <c r="T46" s="6">
        <v>162431</v>
      </c>
      <c r="U46" s="5" t="s">
        <v>40</v>
      </c>
      <c r="W46" s="2">
        <f t="shared" si="4"/>
        <v>0</v>
      </c>
    </row>
    <row r="47" spans="1:23" x14ac:dyDescent="0.35">
      <c r="A47" s="5"/>
      <c r="B47" s="5"/>
      <c r="C47" s="5">
        <v>2025</v>
      </c>
      <c r="D47" s="6">
        <v>1</v>
      </c>
      <c r="E47" s="5" t="s">
        <v>82</v>
      </c>
      <c r="F47" s="5" t="s">
        <v>38</v>
      </c>
      <c r="G47" s="5" t="s">
        <v>39</v>
      </c>
      <c r="H47" s="5" t="s">
        <v>26</v>
      </c>
      <c r="I47" s="5" t="s">
        <v>27</v>
      </c>
      <c r="J47" s="6">
        <v>15800</v>
      </c>
      <c r="K47" s="6">
        <f t="shared" si="5"/>
        <v>15300</v>
      </c>
      <c r="L47" s="7" cm="1">
        <f t="array" ref="L47">SUMPRODUCT($T$3:$T$1009*((LEFT($I$3:$I$1009,11)="Chai PET B3"))*((LEFT($I47,11)="Chai PET B3"))*($F$3:$F$1009=$F47)*($D$3:$D$1009=$D47)*(($F$3:$F$1009="101423")+($F$3:$F$1009="101787"))+$T$3:$T$1009*((LEFT($I$3:$I$1009,11)="Chai PET B1")*(LEFT($I47,11)="Chai PET B1"))*($F$3:$F$1009=$F47)*($D$3:$D$1009=$D47)*(($F$3:$F$1009="101423")+($F$3:$F$1009="101787")))</f>
        <v>0</v>
      </c>
      <c r="M47" s="7">
        <f t="shared" si="11"/>
        <v>0</v>
      </c>
      <c r="N47" s="6" cm="1">
        <f t="array" ref="N47">SUMPRODUCT($T$3:$T$1009*(LEFT(I47,7)="Vảy PET")*((LEFT($I$3:$I$1009,7)="Vảy PET")*($D$3:$D$1009=$D47)*($F$3:$F$1009=$F47)))</f>
        <v>0</v>
      </c>
      <c r="O47" s="11">
        <f t="shared" si="2"/>
        <v>0</v>
      </c>
      <c r="P47" s="6">
        <v>200</v>
      </c>
      <c r="Q47" s="6">
        <v>0</v>
      </c>
      <c r="R47" s="11">
        <f t="shared" ref="R47" si="14">K47+Q47</f>
        <v>15300</v>
      </c>
      <c r="S47" s="6">
        <v>15500</v>
      </c>
      <c r="T47" s="6">
        <v>22115</v>
      </c>
      <c r="U47" s="5" t="s">
        <v>36</v>
      </c>
      <c r="W47" s="2">
        <f t="shared" ref="W47" si="15">R47-S47</f>
        <v>-200</v>
      </c>
    </row>
    <row r="48" spans="1:23" x14ac:dyDescent="0.35">
      <c r="A48" s="5"/>
      <c r="B48" s="5"/>
      <c r="C48" s="5">
        <v>2025</v>
      </c>
      <c r="D48" s="6">
        <v>1</v>
      </c>
      <c r="E48" s="5" t="s">
        <v>82</v>
      </c>
      <c r="F48" s="5" t="s">
        <v>84</v>
      </c>
      <c r="G48" s="5" t="s">
        <v>85</v>
      </c>
      <c r="H48" s="5" t="s">
        <v>62</v>
      </c>
      <c r="I48" s="5" t="s">
        <v>63</v>
      </c>
      <c r="J48" s="6">
        <v>17700</v>
      </c>
      <c r="K48" s="6">
        <f t="shared" si="5"/>
        <v>17700</v>
      </c>
      <c r="L48" s="7" cm="1">
        <f t="array" ref="L48">SUMPRODUCT($T$3:$T$1009*((LEFT($I$3:$I$1009,11)="Chai PET B3"))*((LEFT($I48,11)="Chai PET B3"))*($F$3:$F$1009=$F48)*($D$3:$D$1009=$D48)*(($F$3:$F$1009="101423")+($F$3:$F$1009="101787"))+$T$3:$T$1009*((LEFT($I$3:$I$1009,11)="Chai PET B1")*(LEFT($I48,11)="Chai PET B1"))*($F$3:$F$1009=$F48)*($D$3:$D$1009=$D48)*(($F$3:$F$1009="101423")+($F$3:$F$1009="101787")))</f>
        <v>0</v>
      </c>
      <c r="M48" s="7">
        <f t="shared" si="11"/>
        <v>0</v>
      </c>
      <c r="N48" s="6" cm="1">
        <f t="array" ref="N48">SUMPRODUCT($T$3:$T$1009*(LEFT(I48,7)="Vảy PET")*((LEFT($I$3:$I$1009,7)="Vảy PET")*($D$3:$D$1009=$D48)*($F$3:$F$1009=$F48)))</f>
        <v>104892</v>
      </c>
      <c r="O48" s="11">
        <f t="shared" si="2"/>
        <v>0</v>
      </c>
      <c r="P48" s="6">
        <v>300</v>
      </c>
      <c r="Q48" s="6">
        <v>0</v>
      </c>
      <c r="R48" s="11">
        <f t="shared" ref="R48" si="16">K48+Q48</f>
        <v>17700</v>
      </c>
      <c r="S48" s="6">
        <v>17700</v>
      </c>
      <c r="T48" s="6">
        <v>86212</v>
      </c>
      <c r="U48" s="5"/>
      <c r="W48" s="2">
        <f t="shared" si="4"/>
        <v>0</v>
      </c>
    </row>
    <row r="49" spans="1:23" x14ac:dyDescent="0.35">
      <c r="A49" s="5"/>
      <c r="B49" s="5"/>
      <c r="C49" s="5">
        <v>2025</v>
      </c>
      <c r="D49" s="6">
        <v>1</v>
      </c>
      <c r="E49" s="5" t="s">
        <v>82</v>
      </c>
      <c r="F49" s="5" t="s">
        <v>84</v>
      </c>
      <c r="G49" s="5" t="s">
        <v>85</v>
      </c>
      <c r="H49" s="5" t="s">
        <v>51</v>
      </c>
      <c r="I49" s="5" t="s">
        <v>52</v>
      </c>
      <c r="J49" s="6">
        <v>17700</v>
      </c>
      <c r="K49" s="6">
        <f t="shared" si="5"/>
        <v>17700</v>
      </c>
      <c r="L49" s="7" cm="1">
        <f t="array" ref="L49">SUMPRODUCT($T$3:$T$1009*((LEFT($I$3:$I$1009,11)="Chai PET B3"))*((LEFT($I49,11)="Chai PET B3"))*($F$3:$F$1009=$F49)*($D$3:$D$1009=$D49)*(($F$3:$F$1009="101423")+($F$3:$F$1009="101787"))+$T$3:$T$1009*((LEFT($I$3:$I$1009,11)="Chai PET B1")*(LEFT($I49,11)="Chai PET B1"))*($F$3:$F$1009=$F49)*($D$3:$D$1009=$D49)*(($F$3:$F$1009="101423")+($F$3:$F$1009="101787")))</f>
        <v>0</v>
      </c>
      <c r="M49" s="7">
        <f t="shared" si="11"/>
        <v>0</v>
      </c>
      <c r="N49" s="6" cm="1">
        <f t="array" ref="N49">SUMPRODUCT($T$3:$T$1009*(LEFT(I49,7)="Vảy PET")*((LEFT($I$3:$I$1009,7)="Vảy PET")*($D$3:$D$1009=$D49)*($F$3:$F$1009=$F49)))</f>
        <v>104892</v>
      </c>
      <c r="O49" s="11">
        <f t="shared" si="2"/>
        <v>0</v>
      </c>
      <c r="P49" s="6">
        <v>300</v>
      </c>
      <c r="Q49" s="6">
        <v>0</v>
      </c>
      <c r="R49" s="11">
        <f t="shared" ref="R49:R50" si="17">K49+Q49</f>
        <v>17700</v>
      </c>
      <c r="S49" s="6">
        <v>17700</v>
      </c>
      <c r="T49" s="6">
        <v>18680</v>
      </c>
      <c r="U49" s="5"/>
      <c r="W49" s="2">
        <f t="shared" si="4"/>
        <v>0</v>
      </c>
    </row>
    <row r="50" spans="1:23" hidden="1" x14ac:dyDescent="0.35">
      <c r="A50" s="5"/>
      <c r="B50" s="5"/>
      <c r="C50" s="5">
        <v>2025</v>
      </c>
      <c r="D50" s="6">
        <v>2</v>
      </c>
      <c r="E50" s="5" t="s">
        <v>43</v>
      </c>
      <c r="F50" s="5" t="s">
        <v>41</v>
      </c>
      <c r="G50" s="5" t="s">
        <v>42</v>
      </c>
      <c r="H50" s="5" t="s">
        <v>47</v>
      </c>
      <c r="I50" s="5" t="s">
        <v>48</v>
      </c>
      <c r="J50" s="6">
        <v>18200</v>
      </c>
      <c r="K50" s="6">
        <f t="shared" si="5"/>
        <v>18200</v>
      </c>
      <c r="L50" s="7" cm="1">
        <f t="array" ref="L50">SUMPRODUCT($T$3:$T$1009*((LEFT($I$3:$I$1009,11)="Chai PET B3"))*((LEFT($I50,11)="Chai PET B3"))*($F$3:$F$1009=$F50)*($D$3:$D$1009=$D50)*(($F$3:$F$1009="101423")+($F$3:$F$1009="101787"))+$T$3:$T$1009*((LEFT($I$3:$I$1009,11)="Chai PET B1")*(LEFT($I50,11)="Chai PET B1"))*($F$3:$F$1009=$F50)*($D$3:$D$1009=$D50)*(($F$3:$F$1009="101423")+($F$3:$F$1009="101787")))</f>
        <v>0</v>
      </c>
      <c r="M50" s="7">
        <f t="shared" ref="M50" si="18">IF(L50&gt;100000,500,0)</f>
        <v>0</v>
      </c>
      <c r="N50" s="6" cm="1">
        <f t="array" ref="N50">SUMPRODUCT($T$3:$T$1009*(LEFT(I50,7)="Vảy PET")*((LEFT($I$3:$I$1009,7)="Vảy PET")*($D$3:$D$1009=$D50)*($F$3:$F$1009=$F50)))</f>
        <v>301226</v>
      </c>
      <c r="O50" s="11">
        <f t="shared" si="2"/>
        <v>300</v>
      </c>
      <c r="P50" s="6">
        <v>500</v>
      </c>
      <c r="Q50" s="6">
        <v>800</v>
      </c>
      <c r="R50" s="11">
        <f t="shared" si="17"/>
        <v>19000</v>
      </c>
      <c r="S50" s="6">
        <v>19000</v>
      </c>
      <c r="T50" s="6">
        <v>287200</v>
      </c>
      <c r="U50" s="5"/>
      <c r="V50" t="s">
        <v>87</v>
      </c>
      <c r="W50" s="2">
        <f t="shared" ref="W50" si="19">R50-S50</f>
        <v>0</v>
      </c>
    </row>
    <row r="51" spans="1:23" hidden="1" x14ac:dyDescent="0.35">
      <c r="A51" s="5"/>
      <c r="B51" s="5"/>
      <c r="C51" s="5">
        <v>2025</v>
      </c>
      <c r="D51" s="6">
        <v>2</v>
      </c>
      <c r="E51" s="5" t="s">
        <v>43</v>
      </c>
      <c r="F51" s="5" t="s">
        <v>41</v>
      </c>
      <c r="G51" s="5" t="s">
        <v>42</v>
      </c>
      <c r="H51" s="5" t="s">
        <v>62</v>
      </c>
      <c r="I51" s="5" t="s">
        <v>63</v>
      </c>
      <c r="J51" s="6">
        <v>17700</v>
      </c>
      <c r="K51" s="6">
        <f t="shared" si="5"/>
        <v>17700</v>
      </c>
      <c r="L51" s="7" cm="1">
        <f t="array" ref="L51">SUMPRODUCT($T$3:$T$1009*((LEFT($I$3:$I$1009,11)="Chai PET B3"))*((LEFT($I51,11)="Chai PET B3"))*($F$3:$F$1009=$F51)*($D$3:$D$1009=$D51)*(($F$3:$F$1009="101423")+($F$3:$F$1009="101787"))+$T$3:$T$1009*((LEFT($I$3:$I$1009,11)="Chai PET B1")*(LEFT($I51,11)="Chai PET B1"))*($F$3:$F$1009=$F51)*($D$3:$D$1009=$D51)*(($F$3:$F$1009="101423")+($F$3:$F$1009="101787")))</f>
        <v>0</v>
      </c>
      <c r="M51" s="7">
        <f t="shared" ref="M51:M52" si="20">IF(L51&gt;100000,500,0)</f>
        <v>0</v>
      </c>
      <c r="N51" s="6" cm="1">
        <f t="array" ref="N51">SUMPRODUCT($T$3:$T$1009*(LEFT(I51,7)="Vảy PET")*((LEFT($I$3:$I$1009,7)="Vảy PET")*($D$3:$D$1009=$D51)*($F$3:$F$1009=$F51)))</f>
        <v>301226</v>
      </c>
      <c r="O51" s="11">
        <f t="shared" si="2"/>
        <v>300</v>
      </c>
      <c r="P51" s="6">
        <v>500</v>
      </c>
      <c r="Q51" s="6">
        <v>800</v>
      </c>
      <c r="R51" s="11">
        <f t="shared" ref="R51:R52" si="21">K51+Q51</f>
        <v>18500</v>
      </c>
      <c r="S51" s="6">
        <v>18500</v>
      </c>
      <c r="T51" s="6">
        <v>14026</v>
      </c>
      <c r="U51" s="5"/>
      <c r="W51" s="2">
        <f t="shared" ref="W51:W52" si="22">R51-S51</f>
        <v>0</v>
      </c>
    </row>
    <row r="52" spans="1:23" hidden="1" x14ac:dyDescent="0.35">
      <c r="A52" s="5"/>
      <c r="B52" s="5"/>
      <c r="C52" s="5">
        <v>2025</v>
      </c>
      <c r="D52" s="6">
        <v>2</v>
      </c>
      <c r="E52" s="5" t="s">
        <v>33</v>
      </c>
      <c r="F52" s="5" t="s">
        <v>88</v>
      </c>
      <c r="G52" s="5" t="s">
        <v>89</v>
      </c>
      <c r="H52" s="5" t="s">
        <v>47</v>
      </c>
      <c r="I52" s="5" t="s">
        <v>48</v>
      </c>
      <c r="J52" s="6">
        <v>18200</v>
      </c>
      <c r="K52" s="6">
        <f t="shared" si="5"/>
        <v>18200</v>
      </c>
      <c r="L52" s="7" cm="1">
        <f t="array" ref="L52">SUMPRODUCT($T$3:$T$1009*((LEFT($I$3:$I$1009,11)="Chai PET B3"))*((LEFT($I52,11)="Chai PET B3"))*($F$3:$F$1009=$F52)*($D$3:$D$1009=$D52)*(($F$3:$F$1009="101423")+($F$3:$F$1009="101787"))+$T$3:$T$1009*((LEFT($I$3:$I$1009,11)="Chai PET B1")*(LEFT($I52,11)="Chai PET B1"))*($F$3:$F$1009=$F52)*($D$3:$D$1009=$D52)*(($F$3:$F$1009="101423")+($F$3:$F$1009="101787")))</f>
        <v>0</v>
      </c>
      <c r="M52" s="7">
        <f t="shared" si="20"/>
        <v>0</v>
      </c>
      <c r="N52" s="6" cm="1">
        <f t="array" ref="N52">SUMPRODUCT($T$3:$T$1009*(LEFT(I52,7)="Vảy PET")*((LEFT($I$3:$I$1009,7)="Vảy PET")*($D$3:$D$1009=$D52)*($F$3:$F$1009=$F52)))</f>
        <v>102922</v>
      </c>
      <c r="O52" s="11">
        <f t="shared" si="2"/>
        <v>0</v>
      </c>
      <c r="P52" s="11">
        <v>0</v>
      </c>
      <c r="Q52" s="6">
        <v>800</v>
      </c>
      <c r="R52" s="11">
        <f t="shared" si="21"/>
        <v>19000</v>
      </c>
      <c r="S52" s="6">
        <v>18757.097607897242</v>
      </c>
      <c r="T52" s="6">
        <v>102922</v>
      </c>
      <c r="U52" s="5"/>
      <c r="V52" t="s">
        <v>90</v>
      </c>
      <c r="W52" s="2">
        <f t="shared" si="22"/>
        <v>242.90239210275831</v>
      </c>
    </row>
    <row r="53" spans="1:23" hidden="1" x14ac:dyDescent="0.35">
      <c r="A53" s="5"/>
      <c r="B53" s="5"/>
      <c r="C53" s="5">
        <v>2025</v>
      </c>
      <c r="D53" s="6">
        <v>3</v>
      </c>
      <c r="E53" s="5" t="s">
        <v>93</v>
      </c>
      <c r="F53" s="5" t="s">
        <v>91</v>
      </c>
      <c r="G53" s="5" t="s">
        <v>92</v>
      </c>
      <c r="H53" s="5" t="s">
        <v>47</v>
      </c>
      <c r="I53" s="5" t="s">
        <v>48</v>
      </c>
      <c r="J53" s="6">
        <v>19200</v>
      </c>
      <c r="K53" s="6">
        <f t="shared" si="5"/>
        <v>19200</v>
      </c>
      <c r="L53" s="7" cm="1">
        <f t="array" ref="L53">SUMPRODUCT($T$3:$T$1009*((LEFT($I$3:$I$1009,11)="Chai PET B3"))*((LEFT($I53,11)="Chai PET B3"))*($F$3:$F$1009=$F53)*($D$3:$D$1009=$D53)*(($F$3:$F$1009="101423")+($F$3:$F$1009="101787"))+$T$3:$T$1009*((LEFT($I$3:$I$1009,11)="Chai PET B1")*(LEFT($I53,11)="Chai PET B1"))*($F$3:$F$1009=$F53)*($D$3:$D$1009=$D53)*(($F$3:$F$1009="101423")+($F$3:$F$1009="101787")))</f>
        <v>0</v>
      </c>
      <c r="M53" s="7">
        <f t="shared" ref="M53:M54" si="23">IF(L53&gt;100000,500,0)</f>
        <v>0</v>
      </c>
      <c r="N53" s="6" cm="1">
        <f t="array" ref="N53">SUMPRODUCT($T$3:$T$1009*(LEFT(I53,7)="Vảy PET")*((LEFT($I$3:$I$1009,7)="Vảy PET")*($D$3:$D$1009=$D53)*($F$3:$F$1009=$F53)))</f>
        <v>399131</v>
      </c>
      <c r="O53" s="11">
        <f t="shared" si="2"/>
        <v>300</v>
      </c>
      <c r="P53" s="11">
        <v>400</v>
      </c>
      <c r="Q53" s="6">
        <v>0</v>
      </c>
      <c r="R53" s="11">
        <f t="shared" ref="R53:R54" si="24">K53+Q53</f>
        <v>19200</v>
      </c>
      <c r="S53" s="6">
        <v>19200</v>
      </c>
      <c r="T53" s="6">
        <v>399131</v>
      </c>
      <c r="U53" s="5"/>
      <c r="V53" t="s">
        <v>90</v>
      </c>
      <c r="W53" s="2">
        <f t="shared" ref="W53:W54" si="25">R53-S53</f>
        <v>0</v>
      </c>
    </row>
    <row r="54" spans="1:23" hidden="1" x14ac:dyDescent="0.35">
      <c r="A54" s="5"/>
      <c r="B54" s="5"/>
      <c r="C54" s="5">
        <v>2025</v>
      </c>
      <c r="D54" s="6">
        <v>4</v>
      </c>
      <c r="E54" s="5" t="s">
        <v>43</v>
      </c>
      <c r="F54" s="5" t="s">
        <v>94</v>
      </c>
      <c r="G54" s="5" t="s">
        <v>95</v>
      </c>
      <c r="H54" s="5" t="s">
        <v>47</v>
      </c>
      <c r="I54" s="5" t="s">
        <v>48</v>
      </c>
      <c r="J54" s="6">
        <v>19700</v>
      </c>
      <c r="K54" s="6">
        <f t="shared" si="5"/>
        <v>19700</v>
      </c>
      <c r="L54" s="7" cm="1">
        <f t="array" ref="L54">SUMPRODUCT($T$3:$T$1009*((LEFT($I$3:$I$1009,11)="Chai PET B3"))*((LEFT($I54,11)="Chai PET B3"))*($F$3:$F$1009=$F54)*($D$3:$D$1009=$D54)*(($F$3:$F$1009="101423")+($F$3:$F$1009="101787"))+$T$3:$T$1009*((LEFT($I$3:$I$1009,11)="Chai PET B1")*(LEFT($I54,11)="Chai PET B1"))*($F$3:$F$1009=$F54)*($D$3:$D$1009=$D54)*(($F$3:$F$1009="101423")+($F$3:$F$1009="101787")))</f>
        <v>0</v>
      </c>
      <c r="M54" s="8">
        <f t="shared" si="23"/>
        <v>0</v>
      </c>
      <c r="N54" s="6" cm="1">
        <f t="array" ref="N54">SUMPRODUCT($T$3:$T$1009*(LEFT(I54,7)="Vảy PET")*((LEFT($I$3:$I$1009,7)="Vảy PET")*($D$3:$D$1009=$D54)*($F$3:$F$1009=$F54)))</f>
        <v>400324</v>
      </c>
      <c r="O54" s="11">
        <f t="shared" si="2"/>
        <v>400</v>
      </c>
      <c r="P54" s="11">
        <v>500</v>
      </c>
      <c r="Q54" s="6">
        <v>0</v>
      </c>
      <c r="R54" s="11">
        <f t="shared" si="24"/>
        <v>19700</v>
      </c>
      <c r="S54" s="6">
        <v>19700</v>
      </c>
      <c r="T54" s="6">
        <v>400324</v>
      </c>
      <c r="U54" s="5"/>
      <c r="W54" s="2">
        <f t="shared" si="25"/>
        <v>0</v>
      </c>
    </row>
    <row r="55" spans="1:23" hidden="1" x14ac:dyDescent="0.35">
      <c r="A55" s="5"/>
      <c r="B55" s="5"/>
      <c r="C55" s="5">
        <v>2025</v>
      </c>
      <c r="D55" s="6">
        <v>4</v>
      </c>
      <c r="E55" s="5" t="s">
        <v>43</v>
      </c>
      <c r="F55" s="5" t="s">
        <v>91</v>
      </c>
      <c r="G55" s="5" t="s">
        <v>92</v>
      </c>
      <c r="H55" s="5" t="s">
        <v>47</v>
      </c>
      <c r="I55" s="5" t="s">
        <v>48</v>
      </c>
      <c r="J55" s="6">
        <v>19700</v>
      </c>
      <c r="K55" s="6">
        <f t="shared" si="5"/>
        <v>19700</v>
      </c>
      <c r="L55" s="7" cm="1">
        <f t="array" ref="L55">SUMPRODUCT($T$3:$T$1009*((LEFT($I$3:$I$1009,11)="Chai PET B3"))*((LEFT($I55,11)="Chai PET B3"))*($F$3:$F$1009=$F55)*($D$3:$D$1009=$D55)*(($F$3:$F$1009="101423")+($F$3:$F$1009="101787"))+$T$3:$T$1009*((LEFT($I$3:$I$1009,11)="Chai PET B1")*(LEFT($I55,11)="Chai PET B1"))*($F$3:$F$1009=$F55)*($D$3:$D$1009=$D55)*(($F$3:$F$1009="101423")+($F$3:$F$1009="101787")))</f>
        <v>0</v>
      </c>
      <c r="M55" s="8">
        <f t="shared" ref="M55" si="26">IF(L55&gt;100000,500,0)</f>
        <v>0</v>
      </c>
      <c r="N55" s="6" cm="1">
        <f t="array" ref="N55">SUMPRODUCT($T$3:$T$1009*(LEFT(I55,7)="Vảy PET")*((LEFT($I$3:$I$1009,7)="Vảy PET")*($D$3:$D$1009=$D55)*($F$3:$F$1009=$F55)))</f>
        <v>500902</v>
      </c>
      <c r="O55" s="11">
        <f t="shared" si="2"/>
        <v>500</v>
      </c>
      <c r="P55" s="11">
        <v>900</v>
      </c>
      <c r="Q55" s="6">
        <v>0</v>
      </c>
      <c r="R55" s="11">
        <f t="shared" ref="R55" si="27">K55+Q55</f>
        <v>19700</v>
      </c>
      <c r="S55" s="6">
        <v>19700</v>
      </c>
      <c r="T55" s="6">
        <v>500902</v>
      </c>
      <c r="U55" s="5"/>
      <c r="W55" s="2">
        <f t="shared" ref="W55" si="28">R55-S55</f>
        <v>0</v>
      </c>
    </row>
    <row r="56" spans="1:23" hidden="1" x14ac:dyDescent="0.35">
      <c r="A56" s="5"/>
      <c r="B56" s="5"/>
      <c r="C56" s="5">
        <v>2025</v>
      </c>
      <c r="D56" s="6">
        <v>4</v>
      </c>
      <c r="E56" s="5" t="s">
        <v>43</v>
      </c>
      <c r="F56" s="5" t="s">
        <v>96</v>
      </c>
      <c r="G56" s="5" t="s">
        <v>97</v>
      </c>
      <c r="H56" s="5" t="s">
        <v>47</v>
      </c>
      <c r="I56" s="5" t="s">
        <v>48</v>
      </c>
      <c r="J56" s="6">
        <v>19700</v>
      </c>
      <c r="K56" s="6">
        <f t="shared" si="5"/>
        <v>19700</v>
      </c>
      <c r="L56" s="7" cm="1">
        <f t="array" ref="L56">SUMPRODUCT($T$3:$T$1009*((LEFT($I$3:$I$1009,11)="Chai PET B3"))*((LEFT($I56,11)="Chai PET B3"))*($F$3:$F$1009=$F56)*($D$3:$D$1009=$D56)*(($F$3:$F$1009="101423")+($F$3:$F$1009="101787"))+$T$3:$T$1009*((LEFT($I$3:$I$1009,11)="Chai PET B1")*(LEFT($I56,11)="Chai PET B1"))*($F$3:$F$1009=$F56)*($D$3:$D$1009=$D56)*(($F$3:$F$1009="101423")+($F$3:$F$1009="101787")))</f>
        <v>0</v>
      </c>
      <c r="M56" s="8">
        <f t="shared" ref="M56" si="29">IF(L56&gt;100000,500,0)</f>
        <v>0</v>
      </c>
      <c r="N56" s="6" cm="1">
        <f t="array" ref="N56">SUMPRODUCT($T$3:$T$1009*(LEFT(I56,7)="Vảy PET")*((LEFT($I$3:$I$1009,7)="Vảy PET")*($D$3:$D$1009=$D56)*($F$3:$F$1009=$F56)))</f>
        <v>311298</v>
      </c>
      <c r="O56" s="11">
        <f t="shared" si="2"/>
        <v>300</v>
      </c>
      <c r="P56" s="11">
        <v>500</v>
      </c>
      <c r="Q56" s="6">
        <v>0</v>
      </c>
      <c r="R56" s="11">
        <f t="shared" ref="R56" si="30">K56+Q56</f>
        <v>19700</v>
      </c>
      <c r="S56" s="6">
        <v>19700</v>
      </c>
      <c r="T56" s="6">
        <v>259440</v>
      </c>
      <c r="U56" s="5"/>
      <c r="W56" s="2">
        <f t="shared" ref="W56" si="31">R56-S56</f>
        <v>0</v>
      </c>
    </row>
    <row r="57" spans="1:23" hidden="1" x14ac:dyDescent="0.35">
      <c r="A57" s="5"/>
      <c r="B57" s="5"/>
      <c r="C57" s="5">
        <v>2025</v>
      </c>
      <c r="D57" s="6">
        <v>4</v>
      </c>
      <c r="E57" s="5" t="s">
        <v>43</v>
      </c>
      <c r="F57" s="5" t="s">
        <v>96</v>
      </c>
      <c r="G57" s="5" t="s">
        <v>97</v>
      </c>
      <c r="H57" s="5" t="s">
        <v>62</v>
      </c>
      <c r="I57" s="5" t="s">
        <v>63</v>
      </c>
      <c r="J57" s="6">
        <v>19200</v>
      </c>
      <c r="K57" s="6">
        <f t="shared" ref="K57:K58" si="32">IF(ISNUMBER(SEARCH(2,U57)),J57-500,IF(ISNUMBER(SEARCH(3,U57)),J57-1000,IF(ISNUMBER(SEARCH(4,U57)),J57-1500,J57)))</f>
        <v>19200</v>
      </c>
      <c r="L57" s="7" cm="1">
        <f t="array" ref="L57">SUMPRODUCT($T$3:$T$1009*((LEFT($I$3:$I$1009,11)="Chai PET B3"))*((LEFT($I57,11)="Chai PET B3"))*($F$3:$F$1009=$F57)*($D$3:$D$1009=$D57)*(($F$3:$F$1009="101423")+($F$3:$F$1009="101787"))+$T$3:$T$1009*((LEFT($I$3:$I$1009,11)="Chai PET B1")*(LEFT($I57,11)="Chai PET B1"))*($F$3:$F$1009=$F57)*($D$3:$D$1009=$D57)*(($F$3:$F$1009="101423")+($F$3:$F$1009="101787")))</f>
        <v>0</v>
      </c>
      <c r="M57" s="8">
        <f t="shared" ref="M57:M58" si="33">IF(L57&gt;100000,500,0)</f>
        <v>0</v>
      </c>
      <c r="N57" s="6" cm="1">
        <f t="array" ref="N57">SUMPRODUCT($T$3:$T$1009*(LEFT(I57,7)="Vảy PET")*((LEFT($I$3:$I$1009,7)="Vảy PET")*($D$3:$D$1009=$D57)*($F$3:$F$1009=$F57)))</f>
        <v>311298</v>
      </c>
      <c r="O57" s="11">
        <f t="shared" si="2"/>
        <v>300</v>
      </c>
      <c r="P57" s="11">
        <v>500</v>
      </c>
      <c r="Q57" s="6">
        <v>0</v>
      </c>
      <c r="R57" s="11">
        <f t="shared" ref="R57:R58" si="34">K57+Q57</f>
        <v>19200</v>
      </c>
      <c r="S57" s="6">
        <v>19200</v>
      </c>
      <c r="T57" s="6">
        <v>17126</v>
      </c>
      <c r="U57" s="5"/>
      <c r="W57" s="2">
        <f t="shared" ref="W57:W58" si="35">R57-S57</f>
        <v>0</v>
      </c>
    </row>
    <row r="58" spans="1:23" hidden="1" x14ac:dyDescent="0.35">
      <c r="A58" s="5"/>
      <c r="B58" s="5"/>
      <c r="C58" s="5">
        <v>2025</v>
      </c>
      <c r="D58" s="6">
        <v>4</v>
      </c>
      <c r="E58" s="5" t="s">
        <v>43</v>
      </c>
      <c r="F58" s="5" t="s">
        <v>96</v>
      </c>
      <c r="G58" s="5" t="s">
        <v>97</v>
      </c>
      <c r="H58" s="5" t="s">
        <v>51</v>
      </c>
      <c r="I58" s="5" t="s">
        <v>52</v>
      </c>
      <c r="J58" s="6">
        <v>19200</v>
      </c>
      <c r="K58" s="6">
        <f t="shared" si="32"/>
        <v>19200</v>
      </c>
      <c r="L58" s="7" cm="1">
        <f t="array" ref="L58">SUMPRODUCT($T$3:$T$1009*((LEFT($I$3:$I$1009,11)="Chai PET B3"))*((LEFT($I58,11)="Chai PET B3"))*($F$3:$F$1009=$F58)*($D$3:$D$1009=$D58)*(($F$3:$F$1009="101423")+($F$3:$F$1009="101787"))+$T$3:$T$1009*((LEFT($I$3:$I$1009,11)="Chai PET B1")*(LEFT($I58,11)="Chai PET B1"))*($F$3:$F$1009=$F58)*($D$3:$D$1009=$D58)*(($F$3:$F$1009="101423")+($F$3:$F$1009="101787")))</f>
        <v>0</v>
      </c>
      <c r="M58" s="8">
        <f t="shared" si="33"/>
        <v>0</v>
      </c>
      <c r="N58" s="6" cm="1">
        <f t="array" ref="N58">SUMPRODUCT($T$3:$T$1009*(LEFT(I58,7)="Vảy PET")*((LEFT($I$3:$I$1009,7)="Vảy PET")*($D$3:$D$1009=$D58)*($F$3:$F$1009=$F58)))</f>
        <v>311298</v>
      </c>
      <c r="O58" s="11">
        <f t="shared" si="2"/>
        <v>300</v>
      </c>
      <c r="P58" s="11">
        <v>500</v>
      </c>
      <c r="Q58" s="6">
        <v>0</v>
      </c>
      <c r="R58" s="11">
        <f t="shared" si="34"/>
        <v>19200</v>
      </c>
      <c r="S58" s="6">
        <v>19200</v>
      </c>
      <c r="T58" s="6">
        <v>34732</v>
      </c>
      <c r="U58" s="5"/>
      <c r="W58" s="2">
        <f t="shared" si="35"/>
        <v>0</v>
      </c>
    </row>
    <row r="59" spans="1:23" hidden="1" x14ac:dyDescent="0.35">
      <c r="A59" s="5"/>
      <c r="B59" s="5"/>
      <c r="C59" s="5">
        <v>2025</v>
      </c>
      <c r="D59" s="6">
        <v>4</v>
      </c>
      <c r="E59" s="5" t="s">
        <v>43</v>
      </c>
      <c r="F59" s="5" t="s">
        <v>98</v>
      </c>
      <c r="G59" s="5" t="s">
        <v>99</v>
      </c>
      <c r="H59" s="5" t="s">
        <v>47</v>
      </c>
      <c r="I59" s="5" t="s">
        <v>48</v>
      </c>
      <c r="J59" s="6">
        <v>19700</v>
      </c>
      <c r="K59" s="6">
        <f t="shared" ref="K59:K60" si="36">IF(ISNUMBER(SEARCH(2,U59)),J59-500,IF(ISNUMBER(SEARCH(3,U59)),J59-1000,IF(ISNUMBER(SEARCH(4,U59)),J59-1500,J59)))</f>
        <v>19700</v>
      </c>
      <c r="L59" s="7" cm="1">
        <f t="array" ref="L59">SUMPRODUCT($T$3:$T$1009*((LEFT($I$3:$I$1009,11)="Chai PET B3"))*((LEFT($I59,11)="Chai PET B3"))*($F$3:$F$1009=$F59)*($D$3:$D$1009=$D59)*(($F$3:$F$1009="101423")+($F$3:$F$1009="101787"))+$T$3:$T$1009*((LEFT($I$3:$I$1009,11)="Chai PET B1")*(LEFT($I59,11)="Chai PET B1"))*($F$3:$F$1009=$F59)*($D$3:$D$1009=$D59)*(($F$3:$F$1009="101423")+($F$3:$F$1009="101787")))</f>
        <v>0</v>
      </c>
      <c r="M59" s="8">
        <f t="shared" ref="M59:M63" si="37">IF(L59&gt;100000,500,0)</f>
        <v>0</v>
      </c>
      <c r="N59" s="6" cm="1">
        <f t="array" ref="N59">SUMPRODUCT($T$3:$T$1009*(LEFT(I59,7)="Vảy PET")*((LEFT($I$3:$I$1009,7)="Vảy PET")*($D$3:$D$1009=$D59)*($F$3:$F$1009=$F59)))</f>
        <v>200820</v>
      </c>
      <c r="O59" s="11">
        <f t="shared" si="2"/>
        <v>200</v>
      </c>
      <c r="P59" s="11">
        <v>300</v>
      </c>
      <c r="Q59" s="6">
        <v>0</v>
      </c>
      <c r="R59" s="11">
        <f t="shared" ref="R59:R82" si="38">K59+Q59</f>
        <v>19700</v>
      </c>
      <c r="S59" s="6">
        <v>19700</v>
      </c>
      <c r="T59" s="6">
        <v>160072</v>
      </c>
      <c r="U59" s="5"/>
      <c r="W59" s="2">
        <f t="shared" ref="W59:W63" si="39">R59-S59</f>
        <v>0</v>
      </c>
    </row>
    <row r="60" spans="1:23" hidden="1" x14ac:dyDescent="0.35">
      <c r="A60" s="5"/>
      <c r="B60" s="5"/>
      <c r="C60" s="5">
        <v>2025</v>
      </c>
      <c r="D60" s="6">
        <v>4</v>
      </c>
      <c r="E60" s="5" t="s">
        <v>43</v>
      </c>
      <c r="F60" s="5" t="s">
        <v>98</v>
      </c>
      <c r="G60" s="5" t="s">
        <v>99</v>
      </c>
      <c r="H60" s="5" t="s">
        <v>47</v>
      </c>
      <c r="I60" s="5" t="s">
        <v>48</v>
      </c>
      <c r="J60" s="6">
        <v>19700</v>
      </c>
      <c r="K60" s="6">
        <f t="shared" si="36"/>
        <v>19700</v>
      </c>
      <c r="L60" s="7" cm="1">
        <f t="array" ref="L60">SUMPRODUCT($T$3:$T$1009*((LEFT($I$3:$I$1009,11)="Chai PET B3"))*((LEFT($I60,11)="Chai PET B3"))*($F$3:$F$1009=$F60)*($D$3:$D$1009=$D60)*(($F$3:$F$1009="101423")+($F$3:$F$1009="101787"))+$T$3:$T$1009*((LEFT($I$3:$I$1009,11)="Chai PET B1")*(LEFT($I60,11)="Chai PET B1"))*($F$3:$F$1009=$F60)*($D$3:$D$1009=$D60)*(($F$3:$F$1009="101423")+($F$3:$F$1009="101787")))</f>
        <v>0</v>
      </c>
      <c r="M60" s="8">
        <f t="shared" si="37"/>
        <v>0</v>
      </c>
      <c r="N60" s="6" cm="1">
        <f t="array" ref="N60">SUMPRODUCT($T$3:$T$1009*(LEFT(I60,7)="Vảy PET")*((LEFT($I$3:$I$1009,7)="Vảy PET")*($D$3:$D$1009=$D60)*($F$3:$F$1009=$F60)))</f>
        <v>200820</v>
      </c>
      <c r="O60" s="11">
        <f t="shared" si="2"/>
        <v>200</v>
      </c>
      <c r="P60" s="11">
        <v>700</v>
      </c>
      <c r="Q60" s="6">
        <v>0</v>
      </c>
      <c r="R60" s="11">
        <f t="shared" si="38"/>
        <v>19700</v>
      </c>
      <c r="S60" s="6">
        <v>19700</v>
      </c>
      <c r="T60" s="6">
        <v>40748</v>
      </c>
      <c r="U60" s="5"/>
      <c r="W60" s="2">
        <f t="shared" si="39"/>
        <v>0</v>
      </c>
    </row>
    <row r="61" spans="1:23" hidden="1" x14ac:dyDescent="0.35">
      <c r="A61" s="5"/>
      <c r="B61" s="5"/>
      <c r="C61" s="5">
        <v>2025</v>
      </c>
      <c r="D61" s="6">
        <v>4</v>
      </c>
      <c r="E61" s="5" t="s">
        <v>43</v>
      </c>
      <c r="F61" s="5" t="s">
        <v>74</v>
      </c>
      <c r="G61" s="5" t="s">
        <v>75</v>
      </c>
      <c r="H61" s="5" t="s">
        <v>47</v>
      </c>
      <c r="I61" s="5" t="s">
        <v>48</v>
      </c>
      <c r="J61" s="6">
        <v>19700</v>
      </c>
      <c r="K61" s="6">
        <f>IF(ISNUMBER(SEARCH(2,U61)),J61-500,IF(ISNUMBER(SEARCH(3,U61)),J61-1000,IF(ISNUMBER(SEARCH(4,U61)),J61-1500,J61)))</f>
        <v>19700</v>
      </c>
      <c r="L61" s="7" cm="1">
        <f t="array" ref="L61">SUMPRODUCT($T$3:$T$1009*((LEFT($I$3:$I$1009,11)="Chai PET B3"))*((LEFT($I61,11)="Chai PET B3"))*($F$3:$F$1009=$F61)*($D$3:$D$1009=$D61)*(($F$3:$F$1009="101423")+($F$3:$F$1009="101787"))+$T$3:$T$1009*((LEFT($I$3:$I$1009,11)="Chai PET B1")*(LEFT($I61,11)="Chai PET B1"))*($F$3:$F$1009=$F61)*($D$3:$D$1009=$D61)*(($F$3:$F$1009="101423")+($F$3:$F$1009="101787")))</f>
        <v>0</v>
      </c>
      <c r="M61" s="8">
        <f t="shared" si="37"/>
        <v>0</v>
      </c>
      <c r="N61" s="6" cm="1">
        <f t="array" ref="N61">SUMPRODUCT($T$3:$T$1009*(LEFT(I61,7)="Vảy PET")*((LEFT($I$3:$I$1009,7)="Vảy PET")*($D$3:$D$1009=$D61)*($F$3:$F$1009=$F61)))</f>
        <v>311258</v>
      </c>
      <c r="O61" s="11">
        <f t="shared" si="2"/>
        <v>300</v>
      </c>
      <c r="P61" s="11">
        <v>500</v>
      </c>
      <c r="Q61" s="6">
        <v>0</v>
      </c>
      <c r="R61" s="11">
        <f t="shared" si="38"/>
        <v>19700</v>
      </c>
      <c r="S61" s="6">
        <v>19700</v>
      </c>
      <c r="T61" s="6">
        <v>311258</v>
      </c>
      <c r="U61" s="5"/>
      <c r="W61" s="2">
        <f t="shared" si="39"/>
        <v>0</v>
      </c>
    </row>
    <row r="62" spans="1:23" hidden="1" x14ac:dyDescent="0.35">
      <c r="A62" s="5"/>
      <c r="B62" s="5"/>
      <c r="C62" s="5">
        <v>2025</v>
      </c>
      <c r="D62" s="6">
        <v>5</v>
      </c>
      <c r="E62" s="5" t="s">
        <v>43</v>
      </c>
      <c r="F62" s="5" t="s">
        <v>94</v>
      </c>
      <c r="G62" s="5" t="s">
        <v>95</v>
      </c>
      <c r="H62" s="5" t="s">
        <v>47</v>
      </c>
      <c r="I62" s="5" t="s">
        <v>48</v>
      </c>
      <c r="J62" s="6">
        <v>19000</v>
      </c>
      <c r="K62" s="6">
        <f>IF(ISNUMBER(SEARCH(2,U62)),J62-500,IF(ISNUMBER(SEARCH(3,U62)),J62-1000,IF(ISNUMBER(SEARCH(4,U62)),J62-1500,J62)))</f>
        <v>19000</v>
      </c>
      <c r="L62" s="7" cm="1">
        <f t="array" ref="L62">SUMPRODUCT($T$3:$T$1009*((LEFT($I$3:$I$1009,11)="Chai PET B3"))*((LEFT($I62,11)="Chai PET B3"))*($F$3:$F$1009=$F62)*($D$3:$D$1009=$D62)*(($F$3:$F$1009="101423")+($F$3:$F$1009="101787"))+$T$3:$T$1009*((LEFT($I$3:$I$1009,11)="Chai PET B1")*(LEFT($I62,11)="Chai PET B1"))*($F$3:$F$1009=$F62)*($D$3:$D$1009=$D62)*(($F$3:$F$1009="101423")+($F$3:$F$1009="101787")))</f>
        <v>0</v>
      </c>
      <c r="M62" s="8">
        <f t="shared" si="37"/>
        <v>0</v>
      </c>
      <c r="N62" s="6" cm="1">
        <f t="array" ref="N62">SUMPRODUCT($T$3:$T$1009*(LEFT(I62,7)="Vảy PET")*((LEFT($I$3:$I$1009,7)="Vảy PET")*($D$3:$D$1009=$D62)*($F$3:$F$1009=$F62)))</f>
        <v>513402</v>
      </c>
      <c r="O62" s="11">
        <f t="shared" si="2"/>
        <v>500</v>
      </c>
      <c r="P62" s="11">
        <v>700</v>
      </c>
      <c r="Q62" s="6">
        <v>0</v>
      </c>
      <c r="R62" s="11">
        <f t="shared" si="38"/>
        <v>19000</v>
      </c>
      <c r="S62" s="6">
        <v>19000</v>
      </c>
      <c r="T62" s="6">
        <v>513402</v>
      </c>
      <c r="U62" s="5"/>
      <c r="W62" s="2">
        <f t="shared" si="39"/>
        <v>0</v>
      </c>
    </row>
    <row r="63" spans="1:23" hidden="1" x14ac:dyDescent="0.35">
      <c r="A63" s="5"/>
      <c r="B63" s="5"/>
      <c r="C63" s="5">
        <v>2025</v>
      </c>
      <c r="D63" s="6">
        <v>5</v>
      </c>
      <c r="E63" s="5" t="s">
        <v>43</v>
      </c>
      <c r="F63" s="5" t="s">
        <v>91</v>
      </c>
      <c r="G63" s="5" t="s">
        <v>92</v>
      </c>
      <c r="H63" s="5" t="s">
        <v>47</v>
      </c>
      <c r="I63" s="5" t="s">
        <v>48</v>
      </c>
      <c r="J63" s="6">
        <v>19000</v>
      </c>
      <c r="K63" s="6">
        <f>IF(ISNUMBER(SEARCH(2,U63)),J63-500,IF(ISNUMBER(SEARCH(3,U63)),J63-1000,IF(ISNUMBER(SEARCH(4,U63)),J63-1500,J63)))</f>
        <v>19000</v>
      </c>
      <c r="L63" s="7" cm="1">
        <f t="array" ref="L63">SUMPRODUCT($T$3:$T$1009*((LEFT($I$3:$I$1009,11)="Chai PET B3"))*((LEFT($I63,11)="Chai PET B3"))*($F$3:$F$1009=$F63)*($D$3:$D$1009=$D63)*(($F$3:$F$1009="101423")+($F$3:$F$1009="101787"))+$T$3:$T$1009*((LEFT($I$3:$I$1009,11)="Chai PET B1")*(LEFT($I63,11)="Chai PET B1"))*($F$3:$F$1009=$F63)*($D$3:$D$1009=$D63)*(($F$3:$F$1009="101423")+($F$3:$F$1009="101787")))</f>
        <v>0</v>
      </c>
      <c r="M63" s="8">
        <f t="shared" si="37"/>
        <v>0</v>
      </c>
      <c r="N63" s="6" cm="1">
        <f t="array" ref="N63">SUMPRODUCT($T$3:$T$1009*(LEFT(I63,7)="Vảy PET")*((LEFT($I$3:$I$1009,7)="Vảy PET")*($D$3:$D$1009=$D63)*($F$3:$F$1009=$F63)))</f>
        <v>300428</v>
      </c>
      <c r="O63" s="11">
        <f t="shared" si="2"/>
        <v>300</v>
      </c>
      <c r="P63" s="11">
        <v>1000</v>
      </c>
      <c r="Q63" s="6">
        <v>0</v>
      </c>
      <c r="R63" s="11">
        <f t="shared" si="38"/>
        <v>19000</v>
      </c>
      <c r="S63" s="6">
        <v>19000</v>
      </c>
      <c r="T63" s="6">
        <v>300428</v>
      </c>
      <c r="U63" s="5"/>
      <c r="W63" s="2">
        <f t="shared" si="39"/>
        <v>0</v>
      </c>
    </row>
    <row r="64" spans="1:23" hidden="1" x14ac:dyDescent="0.35">
      <c r="A64" s="5"/>
      <c r="B64" s="5"/>
      <c r="C64" s="5">
        <v>2025</v>
      </c>
      <c r="D64" s="6">
        <v>5</v>
      </c>
      <c r="E64" s="5" t="s">
        <v>43</v>
      </c>
      <c r="F64" s="5" t="s">
        <v>74</v>
      </c>
      <c r="G64" s="5" t="s">
        <v>75</v>
      </c>
      <c r="H64" s="5" t="s">
        <v>47</v>
      </c>
      <c r="I64" s="5" t="s">
        <v>48</v>
      </c>
      <c r="J64" s="6">
        <v>19000</v>
      </c>
      <c r="K64" s="6">
        <f>IF(ISNUMBER(SEARCH(2,U64)),J64-500,IF(ISNUMBER(SEARCH(3,U64)),J64-1000,IF(ISNUMBER(SEARCH(4,U64)),J64-1500,J64)))</f>
        <v>19000</v>
      </c>
      <c r="L64" s="7" cm="1">
        <f t="array" ref="L64">SUMPRODUCT($T$3:$T$1009*((LEFT($I$3:$I$1009,11)="Chai PET B3"))*((LEFT($I64,11)="Chai PET B3"))*($F$3:$F$1009=$F64)*($D$3:$D$1009=$D64)*(($F$3:$F$1009="101423")+($F$3:$F$1009="101787"))+$T$3:$T$1009*((LEFT($I$3:$I$1009,11)="Chai PET B1")*(LEFT($I64,11)="Chai PET B1"))*($F$3:$F$1009=$F64)*($D$3:$D$1009=$D64)*(($F$3:$F$1009="101423")+($F$3:$F$1009="101787")))</f>
        <v>0</v>
      </c>
      <c r="M64" s="7">
        <f t="shared" ref="M64:M82" si="40">IF(L64&gt;100000,500,0)</f>
        <v>0</v>
      </c>
      <c r="N64" s="6" cm="1">
        <f t="array" ref="N64">SUMPRODUCT($T$3:$T$1009*(LEFT(I64,7)="Vảy PET")*((LEFT($I$3:$I$1009,7)="Vảy PET")*($D$3:$D$1009=$D64)*($F$3:$F$1009=$F64)))</f>
        <v>300280</v>
      </c>
      <c r="O64" s="11">
        <f t="shared" si="2"/>
        <v>300</v>
      </c>
      <c r="P64" s="6">
        <v>500</v>
      </c>
      <c r="Q64" s="6">
        <v>0</v>
      </c>
      <c r="R64" s="11">
        <f t="shared" si="38"/>
        <v>19000</v>
      </c>
      <c r="S64" s="6">
        <v>19000</v>
      </c>
      <c r="T64" s="6">
        <v>300280</v>
      </c>
      <c r="U64" s="5"/>
    </row>
    <row r="65" spans="1:23" hidden="1" x14ac:dyDescent="0.35">
      <c r="A65" s="5"/>
      <c r="B65" s="5"/>
      <c r="C65" s="5">
        <v>2025</v>
      </c>
      <c r="D65" s="6">
        <v>5</v>
      </c>
      <c r="E65" s="5" t="s">
        <v>43</v>
      </c>
      <c r="F65" s="5" t="s">
        <v>84</v>
      </c>
      <c r="G65" s="5" t="s">
        <v>85</v>
      </c>
      <c r="H65" s="5" t="s">
        <v>47</v>
      </c>
      <c r="I65" s="5" t="s">
        <v>48</v>
      </c>
      <c r="J65" s="6">
        <v>19000</v>
      </c>
      <c r="K65" s="6">
        <f t="shared" ref="K65:K82" si="41">IF(ISNUMBER(SEARCH(2,U65)),J65-500,IF(ISNUMBER(SEARCH(3,U65)),J65-1000,IF(ISNUMBER(SEARCH(4,U65)),J65-1500,J65)))</f>
        <v>19000</v>
      </c>
      <c r="L65" s="7" cm="1">
        <f t="array" ref="L65">SUMPRODUCT($T$3:$T$1009*((LEFT($I$3:$I$1009,11)="Chai PET B3"))*((LEFT($I65,11)="Chai PET B3"))*($F$3:$F$1009=$F65)*($D$3:$D$1009=$D65)*(($F$3:$F$1009="101423")+($F$3:$F$1009="101787"))+$T$3:$T$1009*((LEFT($I$3:$I$1009,11)="Chai PET B1")*(LEFT($I65,11)="Chai PET B1"))*($F$3:$F$1009=$F65)*($D$3:$D$1009=$D65)*(($F$3:$F$1009="101423")+($F$3:$F$1009="101787")))</f>
        <v>0</v>
      </c>
      <c r="M65" s="7">
        <f t="shared" si="40"/>
        <v>0</v>
      </c>
      <c r="N65" s="6" cm="1">
        <f t="array" ref="N65">SUMPRODUCT($T$3:$T$1009*(LEFT(I65,7)="Vảy PET")*((LEFT($I$3:$I$1009,7)="Vảy PET")*($D$3:$D$1009=$D65)*($F$3:$F$1009=$F65)))</f>
        <v>306306</v>
      </c>
      <c r="O65" s="11">
        <f t="shared" si="2"/>
        <v>300</v>
      </c>
      <c r="P65" s="6">
        <v>500</v>
      </c>
      <c r="Q65" s="6">
        <v>0</v>
      </c>
      <c r="R65" s="11">
        <f t="shared" si="38"/>
        <v>19000</v>
      </c>
      <c r="S65" s="6">
        <v>19000</v>
      </c>
      <c r="T65" s="6">
        <v>277490</v>
      </c>
      <c r="U65" s="5"/>
    </row>
    <row r="66" spans="1:23" hidden="1" x14ac:dyDescent="0.35">
      <c r="A66" s="5"/>
      <c r="B66" s="5"/>
      <c r="C66" s="5">
        <v>2025</v>
      </c>
      <c r="D66" s="6">
        <v>5</v>
      </c>
      <c r="E66" s="5" t="s">
        <v>43</v>
      </c>
      <c r="F66" s="5" t="s">
        <v>84</v>
      </c>
      <c r="G66" s="5" t="s">
        <v>85</v>
      </c>
      <c r="H66" s="5" t="s">
        <v>51</v>
      </c>
      <c r="I66" s="5" t="s">
        <v>52</v>
      </c>
      <c r="J66" s="6">
        <v>18500</v>
      </c>
      <c r="K66" s="6">
        <f t="shared" si="41"/>
        <v>18500</v>
      </c>
      <c r="L66" s="7" cm="1">
        <f t="array" ref="L66">SUMPRODUCT($T$3:$T$1009*((LEFT($I$3:$I$1009,11)="Chai PET B3"))*((LEFT($I66,11)="Chai PET B3"))*($F$3:$F$1009=$F66)*($D$3:$D$1009=$D66)*(($F$3:$F$1009="101423")+($F$3:$F$1009="101787"))+$T$3:$T$1009*((LEFT($I$3:$I$1009,11)="Chai PET B1")*(LEFT($I66,11)="Chai PET B1"))*($F$3:$F$1009=$F66)*($D$3:$D$1009=$D66)*(($F$3:$F$1009="101423")+($F$3:$F$1009="101787")))</f>
        <v>0</v>
      </c>
      <c r="M66" s="7">
        <f t="shared" si="40"/>
        <v>0</v>
      </c>
      <c r="N66" s="6" cm="1">
        <f t="array" ref="N66">SUMPRODUCT($T$3:$T$1009*(LEFT(I66,7)="Vảy PET")*((LEFT($I$3:$I$1009,7)="Vảy PET")*($D$3:$D$1009=$D66)*($F$3:$F$1009=$F66)))</f>
        <v>306306</v>
      </c>
      <c r="O66" s="11">
        <f t="shared" si="2"/>
        <v>300</v>
      </c>
      <c r="P66" s="6">
        <v>500</v>
      </c>
      <c r="Q66" s="6">
        <v>0</v>
      </c>
      <c r="R66" s="11">
        <f t="shared" si="38"/>
        <v>18500</v>
      </c>
      <c r="S66" s="6">
        <v>18500</v>
      </c>
      <c r="T66" s="6">
        <v>28816</v>
      </c>
      <c r="U66" s="5"/>
    </row>
    <row r="67" spans="1:23" hidden="1" x14ac:dyDescent="0.35">
      <c r="A67" s="5"/>
      <c r="B67" s="5"/>
      <c r="C67" s="5">
        <v>2025</v>
      </c>
      <c r="D67" s="6">
        <v>5</v>
      </c>
      <c r="E67" s="5" t="s">
        <v>43</v>
      </c>
      <c r="F67" s="5" t="s">
        <v>100</v>
      </c>
      <c r="G67" s="5" t="s">
        <v>101</v>
      </c>
      <c r="H67" s="5" t="s">
        <v>47</v>
      </c>
      <c r="I67" s="5" t="s">
        <v>48</v>
      </c>
      <c r="J67" s="6">
        <v>19000</v>
      </c>
      <c r="K67" s="6">
        <f t="shared" si="41"/>
        <v>19000</v>
      </c>
      <c r="L67" s="7" cm="1">
        <f t="array" ref="L67">SUMPRODUCT($T$3:$T$1009*((LEFT($I$3:$I$1009,11)="Chai PET B3"))*((LEFT($I67,11)="Chai PET B3"))*($F$3:$F$1009=$F67)*($D$3:$D$1009=$D67)*(($F$3:$F$1009="101423")+($F$3:$F$1009="101787"))+$T$3:$T$1009*((LEFT($I$3:$I$1009,11)="Chai PET B1")*(LEFT($I67,11)="Chai PET B1"))*($F$3:$F$1009=$F67)*($D$3:$D$1009=$D67)*(($F$3:$F$1009="101423")+($F$3:$F$1009="101787")))</f>
        <v>0</v>
      </c>
      <c r="M67" s="7">
        <f t="shared" si="40"/>
        <v>0</v>
      </c>
      <c r="N67" s="6" cm="1">
        <f t="array" ref="N67">SUMPRODUCT($T$3:$T$1009*(LEFT(I67,7)="Vảy PET")*((LEFT($I$3:$I$1009,7)="Vảy PET")*($D$3:$D$1009=$D67)*($F$3:$F$1009=$F67)))</f>
        <v>200890</v>
      </c>
      <c r="O67" s="11">
        <f t="shared" si="2"/>
        <v>200</v>
      </c>
      <c r="P67" s="6">
        <v>400</v>
      </c>
      <c r="Q67" s="6">
        <v>0</v>
      </c>
      <c r="R67" s="11">
        <f t="shared" si="38"/>
        <v>19000</v>
      </c>
      <c r="S67" s="6">
        <v>19000</v>
      </c>
      <c r="T67" s="6">
        <v>200890</v>
      </c>
      <c r="U67" s="5"/>
    </row>
    <row r="68" spans="1:23" hidden="1" x14ac:dyDescent="0.35">
      <c r="A68" s="5"/>
      <c r="B68" s="5"/>
      <c r="C68" s="5">
        <v>2025</v>
      </c>
      <c r="D68" s="6">
        <v>6</v>
      </c>
      <c r="E68" s="5" t="s">
        <v>43</v>
      </c>
      <c r="F68" s="5" t="s">
        <v>91</v>
      </c>
      <c r="G68" s="5" t="s">
        <v>92</v>
      </c>
      <c r="H68" s="5" t="s">
        <v>47</v>
      </c>
      <c r="I68" s="5" t="s">
        <v>48</v>
      </c>
      <c r="J68" s="6">
        <v>19500</v>
      </c>
      <c r="K68" s="6">
        <f>IF(ISNUMBER(SEARCH(2,U68)),J68-500,IF(ISNUMBER(SEARCH(3,U68)),J68-1000,IF(ISNUMBER(SEARCH(4,U68)),J68-1500,J68)))</f>
        <v>19500</v>
      </c>
      <c r="L68" s="7" cm="1">
        <f t="array" ref="L68">SUMPRODUCT($T$3:$T$1009*((LEFT($I$3:$I$1009,11)="Chai PET B3"))*((LEFT($I68,11)="Chai PET B3"))*($F$3:$F$1009=$F68)*($D$3:$D$1009=$D68)*(($F$3:$F$1009="101423")+($F$3:$F$1009="101787"))+$T$3:$T$1009*((LEFT($I$3:$I$1009,11)="Chai PET B1")*(LEFT($I68,11)="Chai PET B1"))*($F$3:$F$1009=$F68)*($D$3:$D$1009=$D68)*(($F$3:$F$1009="101423")+($F$3:$F$1009="101787")))</f>
        <v>0</v>
      </c>
      <c r="M68" s="8">
        <f t="shared" si="40"/>
        <v>0</v>
      </c>
      <c r="N68" s="6" cm="1">
        <f t="array" ref="N68">SUMPRODUCT($T$3:$T$1009*(LEFT(I68,7)="Vảy PET")*((LEFT($I$3:$I$1009,7)="Vảy PET")*($D$3:$D$1009=$D68)*($F$3:$F$1009=$F68)))</f>
        <v>505316</v>
      </c>
      <c r="O68" s="11">
        <f t="shared" si="2"/>
        <v>500</v>
      </c>
      <c r="P68" s="11">
        <v>1000</v>
      </c>
      <c r="Q68" s="6">
        <v>0</v>
      </c>
      <c r="R68" s="11">
        <f t="shared" ref="R68" si="42">K68+Q68</f>
        <v>19500</v>
      </c>
      <c r="S68" s="6">
        <v>19500</v>
      </c>
      <c r="T68" s="6">
        <v>477374</v>
      </c>
      <c r="U68" s="5"/>
      <c r="W68" s="2">
        <f t="shared" ref="W68" si="43">R68-S68</f>
        <v>0</v>
      </c>
    </row>
    <row r="69" spans="1:23" hidden="1" x14ac:dyDescent="0.35">
      <c r="A69" s="5"/>
      <c r="B69" s="5"/>
      <c r="C69" s="5">
        <v>2025</v>
      </c>
      <c r="D69" s="6">
        <v>6</v>
      </c>
      <c r="E69" s="5" t="s">
        <v>43</v>
      </c>
      <c r="F69" s="5" t="s">
        <v>91</v>
      </c>
      <c r="G69" s="5" t="s">
        <v>92</v>
      </c>
      <c r="H69" s="5" t="s">
        <v>62</v>
      </c>
      <c r="I69" s="5" t="s">
        <v>63</v>
      </c>
      <c r="J69" s="6">
        <v>19000</v>
      </c>
      <c r="K69" s="6">
        <f t="shared" ref="K69:K72" si="44">IF(ISNUMBER(SEARCH(2,U69)),J69-500,IF(ISNUMBER(SEARCH(3,U69)),J69-1000,IF(ISNUMBER(SEARCH(4,U69)),J69-1500,J69)))</f>
        <v>19000</v>
      </c>
      <c r="L69" s="7" cm="1">
        <f t="array" ref="L69">SUMPRODUCT($T$3:$T$1009*((LEFT($I$3:$I$1009,11)="Chai PET B3"))*((LEFT($I69,11)="Chai PET B3"))*($F$3:$F$1009=$F69)*($D$3:$D$1009=$D69)*(($F$3:$F$1009="101423")+($F$3:$F$1009="101787"))+$T$3:$T$1009*((LEFT($I$3:$I$1009,11)="Chai PET B1")*(LEFT($I69,11)="Chai PET B1"))*($F$3:$F$1009=$F69)*($D$3:$D$1009=$D69)*(($F$3:$F$1009="101423")+($F$3:$F$1009="101787")))</f>
        <v>0</v>
      </c>
      <c r="M69" s="8">
        <f t="shared" ref="M69:M72" si="45">IF(L69&gt;100000,500,0)</f>
        <v>0</v>
      </c>
      <c r="N69" s="6" cm="1">
        <f t="array" ref="N69">SUMPRODUCT($T$3:$T$1009*(LEFT(I69,7)="Vảy PET")*((LEFT($I$3:$I$1009,7)="Vảy PET")*($D$3:$D$1009=$D69)*($F$3:$F$1009=$F69)))</f>
        <v>505316</v>
      </c>
      <c r="O69" s="11">
        <f t="shared" si="2"/>
        <v>500</v>
      </c>
      <c r="P69" s="11">
        <v>1000</v>
      </c>
      <c r="Q69" s="6">
        <v>0</v>
      </c>
      <c r="R69" s="11">
        <f t="shared" ref="R69:R72" si="46">K69+Q69</f>
        <v>19000</v>
      </c>
      <c r="S69" s="6">
        <v>19000</v>
      </c>
      <c r="T69" s="6">
        <v>27942</v>
      </c>
      <c r="U69" s="5"/>
      <c r="W69" s="2">
        <f t="shared" ref="W69:W72" si="47">R69-S69</f>
        <v>0</v>
      </c>
    </row>
    <row r="70" spans="1:23" hidden="1" x14ac:dyDescent="0.35">
      <c r="A70" s="5"/>
      <c r="B70" s="5"/>
      <c r="C70" s="5">
        <v>2025</v>
      </c>
      <c r="D70" s="6">
        <v>6</v>
      </c>
      <c r="E70" s="5" t="s">
        <v>43</v>
      </c>
      <c r="F70" s="5" t="s">
        <v>94</v>
      </c>
      <c r="G70" s="5" t="s">
        <v>95</v>
      </c>
      <c r="H70" s="5" t="s">
        <v>47</v>
      </c>
      <c r="I70" s="5" t="s">
        <v>48</v>
      </c>
      <c r="J70" s="6">
        <v>19500</v>
      </c>
      <c r="K70" s="6">
        <f t="shared" si="44"/>
        <v>19500</v>
      </c>
      <c r="L70" s="7" cm="1">
        <f t="array" ref="L70">SUMPRODUCT($T$3:$T$1009*((LEFT($I$3:$I$1009,11)="Chai PET B3"))*((LEFT($I70,11)="Chai PET B3"))*($F$3:$F$1009=$F70)*($D$3:$D$1009=$D70)*(($F$3:$F$1009="101423")+($F$3:$F$1009="101787"))+$T$3:$T$1009*((LEFT($I$3:$I$1009,11)="Chai PET B1")*(LEFT($I70,11)="Chai PET B1"))*($F$3:$F$1009=$F70)*($D$3:$D$1009=$D70)*(($F$3:$F$1009="101423")+($F$3:$F$1009="101787")))</f>
        <v>0</v>
      </c>
      <c r="M70" s="8">
        <f t="shared" si="45"/>
        <v>0</v>
      </c>
      <c r="N70" s="6" cm="1">
        <f t="array" ref="N70">SUMPRODUCT($T$3:$T$1009*(LEFT(I70,7)="Vảy PET")*((LEFT($I$3:$I$1009,7)="Vảy PET")*($D$3:$D$1009=$D70)*($F$3:$F$1009=$F70)))</f>
        <v>517196</v>
      </c>
      <c r="O70" s="11">
        <f t="shared" si="2"/>
        <v>500</v>
      </c>
      <c r="P70" s="11">
        <v>700</v>
      </c>
      <c r="Q70" s="6">
        <v>0</v>
      </c>
      <c r="R70" s="11">
        <f t="shared" si="46"/>
        <v>19500</v>
      </c>
      <c r="S70" s="6">
        <v>19500</v>
      </c>
      <c r="T70" s="6">
        <v>476114</v>
      </c>
      <c r="U70" s="5"/>
      <c r="W70" s="2">
        <f t="shared" si="47"/>
        <v>0</v>
      </c>
    </row>
    <row r="71" spans="1:23" hidden="1" x14ac:dyDescent="0.35">
      <c r="A71" s="5"/>
      <c r="B71" s="5"/>
      <c r="C71" s="5">
        <v>2025</v>
      </c>
      <c r="D71" s="6">
        <v>6</v>
      </c>
      <c r="E71" s="5" t="s">
        <v>43</v>
      </c>
      <c r="F71" s="5" t="s">
        <v>94</v>
      </c>
      <c r="G71" s="5" t="s">
        <v>95</v>
      </c>
      <c r="H71" s="5" t="s">
        <v>62</v>
      </c>
      <c r="I71" s="5" t="s">
        <v>63</v>
      </c>
      <c r="J71" s="6">
        <v>19000</v>
      </c>
      <c r="K71" s="6">
        <f t="shared" si="44"/>
        <v>19000</v>
      </c>
      <c r="L71" s="7" cm="1">
        <f t="array" ref="L71">SUMPRODUCT($T$3:$T$1009*((LEFT($I$3:$I$1009,11)="Chai PET B3"))*((LEFT($I71,11)="Chai PET B3"))*($F$3:$F$1009=$F71)*($D$3:$D$1009=$D71)*(($F$3:$F$1009="101423")+($F$3:$F$1009="101787"))+$T$3:$T$1009*((LEFT($I$3:$I$1009,11)="Chai PET B1")*(LEFT($I71,11)="Chai PET B1"))*($F$3:$F$1009=$F71)*($D$3:$D$1009=$D71)*(($F$3:$F$1009="101423")+($F$3:$F$1009="101787")))</f>
        <v>0</v>
      </c>
      <c r="M71" s="8">
        <f t="shared" si="45"/>
        <v>0</v>
      </c>
      <c r="N71" s="6" cm="1">
        <f t="array" ref="N71">SUMPRODUCT($T$3:$T$1009*(LEFT(I71,7)="Vảy PET")*((LEFT($I$3:$I$1009,7)="Vảy PET")*($D$3:$D$1009=$D71)*($F$3:$F$1009=$F71)))</f>
        <v>517196</v>
      </c>
      <c r="O71" s="11">
        <f t="shared" si="2"/>
        <v>500</v>
      </c>
      <c r="P71" s="11">
        <v>700</v>
      </c>
      <c r="Q71" s="6">
        <v>0</v>
      </c>
      <c r="R71" s="11">
        <f t="shared" si="46"/>
        <v>19000</v>
      </c>
      <c r="S71" s="6">
        <v>19000</v>
      </c>
      <c r="T71" s="6">
        <v>27426</v>
      </c>
      <c r="U71" s="5"/>
      <c r="W71" s="2">
        <f t="shared" si="47"/>
        <v>0</v>
      </c>
    </row>
    <row r="72" spans="1:23" hidden="1" x14ac:dyDescent="0.35">
      <c r="A72" s="5"/>
      <c r="B72" s="5"/>
      <c r="C72" s="5">
        <v>2025</v>
      </c>
      <c r="D72" s="6">
        <v>6</v>
      </c>
      <c r="E72" s="5" t="s">
        <v>43</v>
      </c>
      <c r="F72" s="5" t="s">
        <v>94</v>
      </c>
      <c r="G72" s="5" t="s">
        <v>95</v>
      </c>
      <c r="H72" s="5" t="s">
        <v>51</v>
      </c>
      <c r="I72" s="5" t="s">
        <v>52</v>
      </c>
      <c r="J72" s="6">
        <v>19000</v>
      </c>
      <c r="K72" s="6">
        <f t="shared" si="44"/>
        <v>19000</v>
      </c>
      <c r="L72" s="7" cm="1">
        <f t="array" ref="L72">SUMPRODUCT($T$3:$T$1009*((LEFT($I$3:$I$1009,11)="Chai PET B3"))*((LEFT($I72,11)="Chai PET B3"))*($F$3:$F$1009=$F72)*($D$3:$D$1009=$D72)*(($F$3:$F$1009="101423")+($F$3:$F$1009="101787"))+$T$3:$T$1009*((LEFT($I$3:$I$1009,11)="Chai PET B1")*(LEFT($I72,11)="Chai PET B1"))*($F$3:$F$1009=$F72)*($D$3:$D$1009=$D72)*(($F$3:$F$1009="101423")+($F$3:$F$1009="101787")))</f>
        <v>0</v>
      </c>
      <c r="M72" s="8">
        <f t="shared" si="45"/>
        <v>0</v>
      </c>
      <c r="N72" s="6" cm="1">
        <f t="array" ref="N72">SUMPRODUCT($T$3:$T$1009*(LEFT(I72,7)="Vảy PET")*((LEFT($I$3:$I$1009,7)="Vảy PET")*($D$3:$D$1009=$D72)*($F$3:$F$1009=$F72)))</f>
        <v>517196</v>
      </c>
      <c r="O72" s="11">
        <f t="shared" si="2"/>
        <v>500</v>
      </c>
      <c r="P72" s="11">
        <v>700</v>
      </c>
      <c r="Q72" s="6">
        <v>0</v>
      </c>
      <c r="R72" s="11">
        <f t="shared" si="46"/>
        <v>19000</v>
      </c>
      <c r="S72" s="6">
        <v>19000</v>
      </c>
      <c r="T72" s="6">
        <v>13656</v>
      </c>
      <c r="U72" s="5"/>
      <c r="W72" s="2">
        <f t="shared" si="47"/>
        <v>0</v>
      </c>
    </row>
    <row r="73" spans="1:23" hidden="1" x14ac:dyDescent="0.35">
      <c r="A73" s="5"/>
      <c r="B73" s="5"/>
      <c r="C73" s="5"/>
      <c r="D73" s="6"/>
      <c r="E73" s="5"/>
      <c r="F73" s="5"/>
      <c r="G73" s="5"/>
      <c r="H73" s="5"/>
      <c r="I73" s="5"/>
      <c r="J73" s="6"/>
      <c r="K73" s="6">
        <f t="shared" si="41"/>
        <v>0</v>
      </c>
      <c r="L73" s="7" cm="1">
        <f t="array" ref="L73">SUMPRODUCT($T$3:$T$1009*((LEFT($I$3:$I$1009,11)="Chai PET B3"))*((LEFT($I73,11)="Chai PET B3"))*($F$3:$F$1009=$F73)*($D$3:$D$1009=$D73)*(($F$3:$F$1009="101423")+($F$3:$F$1009="101787"))+$T$3:$T$1009*((LEFT($I$3:$I$1009,11)="Chai PET B1")*(LEFT($I73,11)="Chai PET B1"))*($F$3:$F$1009=$F73)*($D$3:$D$1009=$D73)*(($F$3:$F$1009="101423")+($F$3:$F$1009="101787")))</f>
        <v>0</v>
      </c>
      <c r="M73" s="7">
        <f t="shared" si="40"/>
        <v>0</v>
      </c>
      <c r="N73" s="6" cm="1">
        <f t="array" ref="N73">SUMPRODUCT($T$3:$T$1009*(LEFT(I73,7)="Vảy PET")*((LEFT($I$3:$I$1009,7)="Vảy PET")*($D$3:$D$1009=$D73)*($F$3:$F$1009=$F73)))</f>
        <v>0</v>
      </c>
      <c r="O73" s="11">
        <f t="shared" ref="O73:O82" si="48">IF(N73&gt;=500000,500,IF(AND(N73&gt;=400000,N73&lt;500000),400,IF(AND(N73&gt;=300000,N73&lt;400000),300,IF(AND(N73&gt;=200000,N73&lt;300000),200,0))))</f>
        <v>0</v>
      </c>
      <c r="P73" s="6"/>
      <c r="Q73" s="6"/>
      <c r="R73" s="11">
        <f t="shared" si="38"/>
        <v>0</v>
      </c>
      <c r="S73" s="6"/>
      <c r="T73" s="6"/>
      <c r="U73" s="5"/>
    </row>
    <row r="74" spans="1:23" hidden="1" x14ac:dyDescent="0.35">
      <c r="A74" s="5"/>
      <c r="B74" s="5"/>
      <c r="C74" s="5"/>
      <c r="D74" s="6"/>
      <c r="E74" s="5"/>
      <c r="F74" s="5"/>
      <c r="G74" s="5"/>
      <c r="H74" s="5"/>
      <c r="I74" s="5"/>
      <c r="J74" s="6"/>
      <c r="K74" s="6">
        <f t="shared" si="41"/>
        <v>0</v>
      </c>
      <c r="L74" s="7" cm="1">
        <f t="array" ref="L74">SUMPRODUCT($T$3:$T$1009*((LEFT($I$3:$I$1009,11)="Chai PET B3"))*((LEFT($I74,11)="Chai PET B3"))*($F$3:$F$1009=$F74)*($D$3:$D$1009=$D74)*(($F$3:$F$1009="101423")+($F$3:$F$1009="101787"))+$T$3:$T$1009*((LEFT($I$3:$I$1009,11)="Chai PET B1")*(LEFT($I74,11)="Chai PET B1"))*($F$3:$F$1009=$F74)*($D$3:$D$1009=$D74)*(($F$3:$F$1009="101423")+($F$3:$F$1009="101787")))</f>
        <v>0</v>
      </c>
      <c r="M74" s="7">
        <f t="shared" si="40"/>
        <v>0</v>
      </c>
      <c r="N74" s="6" cm="1">
        <f t="array" ref="N74">SUMPRODUCT($T$3:$T$1009*(LEFT(I74,7)="Vảy PET")*((LEFT($I$3:$I$1009,7)="Vảy PET")*($D$3:$D$1009=$D74)*($F$3:$F$1009=$F74)))</f>
        <v>0</v>
      </c>
      <c r="O74" s="11">
        <f t="shared" si="48"/>
        <v>0</v>
      </c>
      <c r="P74" s="6"/>
      <c r="Q74" s="6"/>
      <c r="R74" s="11">
        <f t="shared" si="38"/>
        <v>0</v>
      </c>
      <c r="S74" s="6"/>
      <c r="T74" s="6"/>
      <c r="U74" s="5"/>
    </row>
    <row r="75" spans="1:23" hidden="1" x14ac:dyDescent="0.35">
      <c r="A75" s="5"/>
      <c r="B75" s="5"/>
      <c r="C75" s="5"/>
      <c r="D75" s="6"/>
      <c r="E75" s="5"/>
      <c r="F75" s="5"/>
      <c r="G75" s="5"/>
      <c r="H75" s="5"/>
      <c r="I75" s="5"/>
      <c r="J75" s="6"/>
      <c r="K75" s="6">
        <f t="shared" si="41"/>
        <v>0</v>
      </c>
      <c r="L75" s="7" cm="1">
        <f t="array" ref="L75">SUMPRODUCT($T$3:$T$1009*((LEFT($I$3:$I$1009,11)="Chai PET B3"))*((LEFT($I75,11)="Chai PET B3"))*($F$3:$F$1009=$F75)*($D$3:$D$1009=$D75)*(($F$3:$F$1009="101423")+($F$3:$F$1009="101787"))+$T$3:$T$1009*((LEFT($I$3:$I$1009,11)="Chai PET B1")*(LEFT($I75,11)="Chai PET B1"))*($F$3:$F$1009=$F75)*($D$3:$D$1009=$D75)*(($F$3:$F$1009="101423")+($F$3:$F$1009="101787")))</f>
        <v>0</v>
      </c>
      <c r="M75" s="7">
        <f t="shared" si="40"/>
        <v>0</v>
      </c>
      <c r="N75" s="6" cm="1">
        <f t="array" ref="N75">SUMPRODUCT($T$3:$T$1009*(LEFT(I75,7)="Vảy PET")*((LEFT($I$3:$I$1009,7)="Vảy PET")*($D$3:$D$1009=$D75)*($F$3:$F$1009=$F75)))</f>
        <v>0</v>
      </c>
      <c r="O75" s="11">
        <f t="shared" si="48"/>
        <v>0</v>
      </c>
      <c r="P75" s="6"/>
      <c r="Q75" s="6"/>
      <c r="R75" s="11">
        <f t="shared" si="38"/>
        <v>0</v>
      </c>
      <c r="S75" s="6"/>
      <c r="T75" s="6"/>
      <c r="U75" s="5"/>
    </row>
    <row r="76" spans="1:23" hidden="1" x14ac:dyDescent="0.35">
      <c r="A76" s="5"/>
      <c r="B76" s="5"/>
      <c r="C76" s="5"/>
      <c r="D76" s="6"/>
      <c r="E76" s="5"/>
      <c r="F76" s="5"/>
      <c r="G76" s="5"/>
      <c r="H76" s="5"/>
      <c r="I76" s="5"/>
      <c r="J76" s="6"/>
      <c r="K76" s="6">
        <f t="shared" si="41"/>
        <v>0</v>
      </c>
      <c r="L76" s="7" cm="1">
        <f t="array" ref="L76">SUMPRODUCT($T$3:$T$1009*((LEFT($I$3:$I$1009,11)="Chai PET B3"))*((LEFT($I76,11)="Chai PET B3"))*($F$3:$F$1009=$F76)*($D$3:$D$1009=$D76)*(($F$3:$F$1009="101423")+($F$3:$F$1009="101787"))+$T$3:$T$1009*((LEFT($I$3:$I$1009,11)="Chai PET B1")*(LEFT($I76,11)="Chai PET B1"))*($F$3:$F$1009=$F76)*($D$3:$D$1009=$D76)*(($F$3:$F$1009="101423")+($F$3:$F$1009="101787")))</f>
        <v>0</v>
      </c>
      <c r="M76" s="7">
        <f t="shared" si="40"/>
        <v>0</v>
      </c>
      <c r="N76" s="6" cm="1">
        <f t="array" ref="N76">SUMPRODUCT($T$3:$T$1009*(LEFT(I76,7)="Vảy PET")*((LEFT($I$3:$I$1009,7)="Vảy PET")*($D$3:$D$1009=$D76)*($F$3:$F$1009=$F76)))</f>
        <v>0</v>
      </c>
      <c r="O76" s="11">
        <f t="shared" si="48"/>
        <v>0</v>
      </c>
      <c r="P76" s="6"/>
      <c r="Q76" s="6"/>
      <c r="R76" s="11">
        <f t="shared" si="38"/>
        <v>0</v>
      </c>
      <c r="S76" s="6"/>
      <c r="T76" s="6"/>
      <c r="U76" s="5"/>
    </row>
    <row r="77" spans="1:23" hidden="1" x14ac:dyDescent="0.35">
      <c r="A77" s="5"/>
      <c r="B77" s="5"/>
      <c r="C77" s="5"/>
      <c r="D77" s="6"/>
      <c r="E77" s="5"/>
      <c r="F77" s="5"/>
      <c r="G77" s="5"/>
      <c r="H77" s="5"/>
      <c r="I77" s="5"/>
      <c r="J77" s="6"/>
      <c r="K77" s="6">
        <f t="shared" si="41"/>
        <v>0</v>
      </c>
      <c r="L77" s="7" cm="1">
        <f t="array" ref="L77">SUMPRODUCT($T$3:$T$1009*((LEFT($I$3:$I$1009,11)="Chai PET B3"))*((LEFT($I77,11)="Chai PET B3"))*($F$3:$F$1009=$F77)*($D$3:$D$1009=$D77)*(($F$3:$F$1009="101423")+($F$3:$F$1009="101787"))+$T$3:$T$1009*((LEFT($I$3:$I$1009,11)="Chai PET B1")*(LEFT($I77,11)="Chai PET B1"))*($F$3:$F$1009=$F77)*($D$3:$D$1009=$D77)*(($F$3:$F$1009="101423")+($F$3:$F$1009="101787")))</f>
        <v>0</v>
      </c>
      <c r="M77" s="7">
        <f t="shared" si="40"/>
        <v>0</v>
      </c>
      <c r="N77" s="6" cm="1">
        <f t="array" ref="N77">SUMPRODUCT($T$3:$T$1009*(LEFT(I77,7)="Vảy PET")*((LEFT($I$3:$I$1009,7)="Vảy PET")*($D$3:$D$1009=$D77)*($F$3:$F$1009=$F77)))</f>
        <v>0</v>
      </c>
      <c r="O77" s="11">
        <f t="shared" si="48"/>
        <v>0</v>
      </c>
      <c r="P77" s="6"/>
      <c r="Q77" s="6"/>
      <c r="R77" s="11">
        <f t="shared" si="38"/>
        <v>0</v>
      </c>
      <c r="S77" s="6"/>
      <c r="T77" s="6"/>
      <c r="U77" s="5"/>
    </row>
    <row r="78" spans="1:23" hidden="1" x14ac:dyDescent="0.35">
      <c r="A78" s="5"/>
      <c r="B78" s="5"/>
      <c r="C78" s="5"/>
      <c r="D78" s="6"/>
      <c r="E78" s="5"/>
      <c r="F78" s="5"/>
      <c r="G78" s="5"/>
      <c r="H78" s="5"/>
      <c r="I78" s="5"/>
      <c r="J78" s="6"/>
      <c r="K78" s="6">
        <f t="shared" si="41"/>
        <v>0</v>
      </c>
      <c r="L78" s="7" cm="1">
        <f t="array" ref="L78">SUMPRODUCT($T$3:$T$1009*((LEFT($I$3:$I$1009,11)="Chai PET B3"))*((LEFT($I78,11)="Chai PET B3"))*($F$3:$F$1009=$F78)*($D$3:$D$1009=$D78)*(($F$3:$F$1009="101423")+($F$3:$F$1009="101787"))+$T$3:$T$1009*((LEFT($I$3:$I$1009,11)="Chai PET B1")*(LEFT($I78,11)="Chai PET B1"))*($F$3:$F$1009=$F78)*($D$3:$D$1009=$D78)*(($F$3:$F$1009="101423")+($F$3:$F$1009="101787")))</f>
        <v>0</v>
      </c>
      <c r="M78" s="7">
        <f t="shared" si="40"/>
        <v>0</v>
      </c>
      <c r="N78" s="6" cm="1">
        <f t="array" ref="N78">SUMPRODUCT($T$3:$T$1009*(LEFT(I78,7)="Vảy PET")*((LEFT($I$3:$I$1009,7)="Vảy PET")*($D$3:$D$1009=$D78)*($F$3:$F$1009=$F78)))</f>
        <v>0</v>
      </c>
      <c r="O78" s="11">
        <f t="shared" si="48"/>
        <v>0</v>
      </c>
      <c r="P78" s="6"/>
      <c r="Q78" s="6"/>
      <c r="R78" s="11">
        <f t="shared" si="38"/>
        <v>0</v>
      </c>
      <c r="S78" s="6"/>
      <c r="T78" s="6"/>
      <c r="U78" s="5"/>
    </row>
    <row r="79" spans="1:23" hidden="1" x14ac:dyDescent="0.35">
      <c r="A79" s="5"/>
      <c r="B79" s="5"/>
      <c r="C79" s="5"/>
      <c r="D79" s="6"/>
      <c r="E79" s="5"/>
      <c r="F79" s="5"/>
      <c r="G79" s="5"/>
      <c r="H79" s="5"/>
      <c r="I79" s="5"/>
      <c r="J79" s="6"/>
      <c r="K79" s="6">
        <f t="shared" si="41"/>
        <v>0</v>
      </c>
      <c r="L79" s="7" cm="1">
        <f t="array" ref="L79">SUMPRODUCT($T$3:$T$1009*((LEFT($I$3:$I$1009,11)="Chai PET B3"))*((LEFT($I79,11)="Chai PET B3"))*($F$3:$F$1009=$F79)*($D$3:$D$1009=$D79)*(($F$3:$F$1009="101423")+($F$3:$F$1009="101787"))+$T$3:$T$1009*((LEFT($I$3:$I$1009,11)="Chai PET B1")*(LEFT($I79,11)="Chai PET B1"))*($F$3:$F$1009=$F79)*($D$3:$D$1009=$D79)*(($F$3:$F$1009="101423")+($F$3:$F$1009="101787")))</f>
        <v>0</v>
      </c>
      <c r="M79" s="7">
        <f t="shared" si="40"/>
        <v>0</v>
      </c>
      <c r="N79" s="6" cm="1">
        <f t="array" ref="N79">SUMPRODUCT($T$3:$T$1009*(LEFT(I79,7)="Vảy PET")*((LEFT($I$3:$I$1009,7)="Vảy PET")*($D$3:$D$1009=$D79)*($F$3:$F$1009=$F79)))</f>
        <v>0</v>
      </c>
      <c r="O79" s="11">
        <f t="shared" si="48"/>
        <v>0</v>
      </c>
      <c r="P79" s="6"/>
      <c r="Q79" s="6"/>
      <c r="R79" s="11">
        <f t="shared" si="38"/>
        <v>0</v>
      </c>
      <c r="S79" s="6"/>
      <c r="T79" s="6"/>
      <c r="U79" s="5"/>
    </row>
    <row r="80" spans="1:23" hidden="1" x14ac:dyDescent="0.35">
      <c r="A80" s="5"/>
      <c r="B80" s="5"/>
      <c r="C80" s="5"/>
      <c r="D80" s="6"/>
      <c r="E80" s="5"/>
      <c r="F80" s="5"/>
      <c r="G80" s="5"/>
      <c r="H80" s="5"/>
      <c r="I80" s="5"/>
      <c r="J80" s="6"/>
      <c r="K80" s="6">
        <f t="shared" si="41"/>
        <v>0</v>
      </c>
      <c r="L80" s="7" cm="1">
        <f t="array" ref="L80">SUMPRODUCT($T$3:$T$1009*((LEFT($I$3:$I$1009,11)="Chai PET B3"))*((LEFT($I80,11)="Chai PET B3"))*($F$3:$F$1009=$F80)*($D$3:$D$1009=$D80)*(($F$3:$F$1009="101423")+($F$3:$F$1009="101787"))+$T$3:$T$1009*((LEFT($I$3:$I$1009,11)="Chai PET B1")*(LEFT($I80,11)="Chai PET B1"))*($F$3:$F$1009=$F80)*($D$3:$D$1009=$D80)*(($F$3:$F$1009="101423")+($F$3:$F$1009="101787")))</f>
        <v>0</v>
      </c>
      <c r="M80" s="7">
        <f t="shared" si="40"/>
        <v>0</v>
      </c>
      <c r="N80" s="6" cm="1">
        <f t="array" ref="N80">SUMPRODUCT($T$3:$T$1009*(LEFT(I80,7)="Vảy PET")*((LEFT($I$3:$I$1009,7)="Vảy PET")*($D$3:$D$1009=$D80)*($F$3:$F$1009=$F80)))</f>
        <v>0</v>
      </c>
      <c r="O80" s="11">
        <f t="shared" si="48"/>
        <v>0</v>
      </c>
      <c r="P80" s="6"/>
      <c r="Q80" s="6"/>
      <c r="R80" s="11">
        <f t="shared" si="38"/>
        <v>0</v>
      </c>
      <c r="S80" s="6"/>
      <c r="T80" s="6"/>
      <c r="U80" s="5"/>
    </row>
    <row r="81" spans="1:21" hidden="1" x14ac:dyDescent="0.35">
      <c r="A81" s="5"/>
      <c r="B81" s="5"/>
      <c r="C81" s="5"/>
      <c r="D81" s="6"/>
      <c r="E81" s="5"/>
      <c r="F81" s="5"/>
      <c r="G81" s="5"/>
      <c r="H81" s="5"/>
      <c r="I81" s="5"/>
      <c r="J81" s="6"/>
      <c r="K81" s="6">
        <f t="shared" si="41"/>
        <v>0</v>
      </c>
      <c r="L81" s="7" cm="1">
        <f t="array" ref="L81">SUMPRODUCT($T$3:$T$1009*((LEFT($I$3:$I$1009,11)="Chai PET B3"))*((LEFT($I81,11)="Chai PET B3"))*($F$3:$F$1009=$F81)*($D$3:$D$1009=$D81)*(($F$3:$F$1009="101423")+($F$3:$F$1009="101787"))+$T$3:$T$1009*((LEFT($I$3:$I$1009,11)="Chai PET B1")*(LEFT($I81,11)="Chai PET B1"))*($F$3:$F$1009=$F81)*($D$3:$D$1009=$D81)*(($F$3:$F$1009="101423")+($F$3:$F$1009="101787")))</f>
        <v>0</v>
      </c>
      <c r="M81" s="7">
        <f t="shared" si="40"/>
        <v>0</v>
      </c>
      <c r="N81" s="6" cm="1">
        <f t="array" ref="N81">SUMPRODUCT($T$3:$T$1009*(LEFT(I81,7)="Vảy PET")*((LEFT($I$3:$I$1009,7)="Vảy PET")*($D$3:$D$1009=$D81)*($F$3:$F$1009=$F81)))</f>
        <v>0</v>
      </c>
      <c r="O81" s="11">
        <f t="shared" si="48"/>
        <v>0</v>
      </c>
      <c r="P81" s="6"/>
      <c r="Q81" s="6"/>
      <c r="R81" s="11">
        <f t="shared" si="38"/>
        <v>0</v>
      </c>
      <c r="S81" s="6"/>
      <c r="T81" s="6"/>
      <c r="U81" s="5"/>
    </row>
    <row r="82" spans="1:21" hidden="1" x14ac:dyDescent="0.35">
      <c r="A82" s="5"/>
      <c r="B82" s="5"/>
      <c r="C82" s="5"/>
      <c r="D82" s="6"/>
      <c r="E82" s="5"/>
      <c r="F82" s="5"/>
      <c r="G82" s="5"/>
      <c r="H82" s="5"/>
      <c r="I82" s="5"/>
      <c r="J82" s="6"/>
      <c r="K82" s="6">
        <f t="shared" si="41"/>
        <v>0</v>
      </c>
      <c r="L82" s="7" cm="1">
        <f t="array" ref="L82">SUMPRODUCT($T$3:$T$1009*((LEFT($I$3:$I$1009,11)="Chai PET B3"))*((LEFT($I82,11)="Chai PET B3"))*($F$3:$F$1009=$F82)*($D$3:$D$1009=$D82)*(($F$3:$F$1009="101423")+($F$3:$F$1009="101787"))+$T$3:$T$1009*((LEFT($I$3:$I$1009,11)="Chai PET B1")*(LEFT($I82,11)="Chai PET B1"))*($F$3:$F$1009=$F82)*($D$3:$D$1009=$D82)*(($F$3:$F$1009="101423")+($F$3:$F$1009="101787")))</f>
        <v>0</v>
      </c>
      <c r="M82" s="7">
        <f t="shared" si="40"/>
        <v>0</v>
      </c>
      <c r="N82" s="6" cm="1">
        <f t="array" ref="N82">SUMPRODUCT($T$3:$T$1009*(LEFT(I82,7)="Vảy PET")*((LEFT($I$3:$I$1009,7)="Vảy PET")*($D$3:$D$1009=$D82)*($F$3:$F$1009=$F82)))</f>
        <v>0</v>
      </c>
      <c r="O82" s="11">
        <f t="shared" si="48"/>
        <v>0</v>
      </c>
      <c r="P82" s="6"/>
      <c r="Q82" s="6"/>
      <c r="R82" s="11">
        <f t="shared" si="38"/>
        <v>0</v>
      </c>
      <c r="S82" s="6"/>
      <c r="T82" s="6"/>
      <c r="U82" s="5"/>
    </row>
    <row r="83" spans="1:21" x14ac:dyDescent="0.35">
      <c r="A83" s="5"/>
      <c r="B83" s="5"/>
      <c r="C83" s="5"/>
      <c r="D83" s="6"/>
      <c r="E83" s="5"/>
      <c r="F83" s="5"/>
      <c r="G83" s="5"/>
      <c r="H83" s="5"/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5"/>
    </row>
    <row r="84" spans="1:21" x14ac:dyDescent="0.35">
      <c r="A84" s="5"/>
      <c r="B84" s="5"/>
      <c r="C84" s="5"/>
      <c r="D84" s="6"/>
      <c r="E84" s="5"/>
      <c r="F84" s="5"/>
      <c r="G84" s="5"/>
      <c r="H84" s="5"/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5"/>
    </row>
    <row r="85" spans="1:21" x14ac:dyDescent="0.35">
      <c r="A85" s="5"/>
      <c r="B85" s="5"/>
      <c r="C85" s="5"/>
      <c r="D85" s="6"/>
      <c r="E85" s="5"/>
      <c r="F85" s="5"/>
      <c r="G85" s="5"/>
      <c r="H85" s="5"/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5"/>
    </row>
    <row r="86" spans="1:21" x14ac:dyDescent="0.35">
      <c r="A86" s="5"/>
      <c r="B86" s="5"/>
      <c r="C86" s="5"/>
      <c r="D86" s="6"/>
      <c r="E86" s="5"/>
      <c r="F86" s="5"/>
      <c r="G86" s="5"/>
      <c r="H86" s="5"/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5"/>
    </row>
  </sheetData>
  <autoFilter ref="D2:U82" xr:uid="{11803FDF-922E-4E3B-A472-92E8CD72F632}">
    <filterColumn colId="1">
      <filters>
        <filter val="Thưởng đồng hành ngoại lệ"/>
      </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2C37-A848-42AA-AB86-8339121EB158}">
  <sheetPr codeName="Sheet2"/>
  <dimension ref="A2:Q15"/>
  <sheetViews>
    <sheetView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P6" sqref="P6"/>
    </sheetView>
  </sheetViews>
  <sheetFormatPr defaultRowHeight="14.5" outlineLevelCol="2" x14ac:dyDescent="0.35"/>
  <cols>
    <col min="1" max="1" width="10.08984375" bestFit="1" customWidth="1"/>
    <col min="2" max="2" width="22.08984375" bestFit="1" customWidth="1"/>
    <col min="3" max="3" width="9.08984375" bestFit="1" customWidth="1"/>
    <col min="4" max="4" width="14.453125" bestFit="1" customWidth="1"/>
    <col min="5" max="5" width="9.54296875" hidden="1" customWidth="1" outlineLevel="1"/>
    <col min="6" max="6" width="10.26953125" hidden="1" customWidth="1" outlineLevel="1"/>
    <col min="7" max="7" width="9.81640625" bestFit="1" customWidth="1" collapsed="1"/>
    <col min="8" max="8" width="24.08984375" bestFit="1" customWidth="1"/>
    <col min="9" max="9" width="10.1796875" style="1" bestFit="1" customWidth="1"/>
    <col min="10" max="10" width="14.81640625" style="1" hidden="1" customWidth="1" outlineLevel="1"/>
    <col min="11" max="11" width="17.36328125" style="1" hidden="1" customWidth="1" outlineLevel="2"/>
    <col min="12" max="12" width="17.36328125" style="1" hidden="1" customWidth="1" outlineLevel="1"/>
    <col min="13" max="13" width="11.81640625" bestFit="1" customWidth="1" collapsed="1"/>
    <col min="14" max="14" width="15.54296875" style="1" bestFit="1" customWidth="1"/>
    <col min="15" max="15" width="14.90625" style="1" bestFit="1" customWidth="1"/>
    <col min="16" max="16" width="9.1796875" style="1" bestFit="1" customWidth="1"/>
  </cols>
  <sheetData>
    <row r="2" spans="1:17" x14ac:dyDescent="0.35">
      <c r="A2" t="s">
        <v>1</v>
      </c>
      <c r="B2" t="s">
        <v>0</v>
      </c>
      <c r="C2" t="s">
        <v>2</v>
      </c>
      <c r="D2" t="s">
        <v>3</v>
      </c>
      <c r="E2" t="s">
        <v>10</v>
      </c>
      <c r="F2" t="s">
        <v>14</v>
      </c>
      <c r="G2" t="s">
        <v>4</v>
      </c>
      <c r="H2" t="s">
        <v>5</v>
      </c>
      <c r="I2" s="1" t="s">
        <v>6</v>
      </c>
      <c r="J2" s="1" t="s">
        <v>50</v>
      </c>
      <c r="K2" s="1" t="s">
        <v>54</v>
      </c>
      <c r="L2" s="1" t="s">
        <v>49</v>
      </c>
      <c r="M2" t="s">
        <v>17</v>
      </c>
      <c r="N2" s="1" t="s">
        <v>18</v>
      </c>
      <c r="O2" s="1" t="s">
        <v>24</v>
      </c>
      <c r="P2" s="1" t="s">
        <v>25</v>
      </c>
    </row>
    <row r="3" spans="1:17" x14ac:dyDescent="0.35">
      <c r="A3" s="3">
        <v>45658</v>
      </c>
      <c r="B3" t="s">
        <v>7</v>
      </c>
      <c r="C3" t="s">
        <v>28</v>
      </c>
      <c r="D3" t="s">
        <v>8</v>
      </c>
      <c r="E3" t="s">
        <v>15</v>
      </c>
      <c r="F3" t="s">
        <v>11</v>
      </c>
      <c r="G3" t="s">
        <v>19</v>
      </c>
      <c r="H3" t="s">
        <v>20</v>
      </c>
      <c r="I3" s="1">
        <v>16800</v>
      </c>
      <c r="J3" s="1" cm="1">
        <f t="array" ref="J3">SUMPRODUCT($P$3:$P$999*((LEFT($H$3:$H$999,11)="Chai PET B1")*($A$3:$A$999=$A3)*($C$3:$C$999="101423")*($C$3:$C$999="101781")))</f>
        <v>0</v>
      </c>
      <c r="K3" s="1" cm="1">
        <f t="array" ref="K3">SUMPRODUCT($P$3:$P$999*(LEFT(H3,7)="Vảy PET")*((LEFT($H$3:$H$999,7)="Vảy PET")*($A$3:$A$999=$A3)*($C$3:$C$999=$C3)))</f>
        <v>0</v>
      </c>
      <c r="L3" s="1">
        <f>IF(K3&gt;=500,500,IF(AND(K3&gt;=400,K3&lt;500),400,IF(AND(K3&gt;=300,K3&lt;340),300,IF(AND(K3&gt;=200,K3&lt;200),200,0))))</f>
        <v>0</v>
      </c>
      <c r="M3">
        <v>200</v>
      </c>
      <c r="N3" s="1">
        <f t="shared" ref="N3:N15" si="0">I3+M3</f>
        <v>17000</v>
      </c>
      <c r="P3" s="1">
        <v>0</v>
      </c>
    </row>
    <row r="4" spans="1:17" x14ac:dyDescent="0.35">
      <c r="A4" s="3">
        <v>45658</v>
      </c>
      <c r="B4" t="s">
        <v>7</v>
      </c>
      <c r="C4" t="s">
        <v>21</v>
      </c>
      <c r="D4" t="s">
        <v>22</v>
      </c>
      <c r="E4" t="s">
        <v>16</v>
      </c>
      <c r="F4" t="s">
        <v>12</v>
      </c>
      <c r="G4" t="s">
        <v>19</v>
      </c>
      <c r="H4" t="s">
        <v>20</v>
      </c>
      <c r="I4" s="1">
        <v>16800</v>
      </c>
      <c r="J4" s="1" cm="1">
        <f t="array" ref="J4">SUMPRODUCT($P$3:$P$999*((LEFT($H$3:$H$999,11)="Chai PET B1")*($A$3:$A$999=$A4)*(OR(($C$3:$C$999="101423"),($C$3:$C$999="101781")))))</f>
        <v>11401</v>
      </c>
      <c r="K4" s="1" cm="1">
        <f t="array" ref="K4">SUMPRODUCT($P$3:$P$999*(LEFT(H4,7)="Vảy PET")*((LEFT($H$3:$H$999,7)="Vảy PET")*($A$3:$A$999=$A4)*($C$3:$C$999=$C4)))</f>
        <v>0</v>
      </c>
      <c r="L4" s="1">
        <f t="shared" ref="L4:L15" si="1">IF(K4&gt;=500,500,IF(AND(K4&gt;=400,K4&lt;500),400,IF(AND(K4&gt;=300,K4&lt;340),300,IF(AND(K4&gt;=200,K4&lt;200),200,0))))</f>
        <v>0</v>
      </c>
      <c r="M4">
        <v>200</v>
      </c>
      <c r="N4" s="1">
        <f t="shared" si="0"/>
        <v>17000</v>
      </c>
      <c r="O4" s="1">
        <f>17425/1.025</f>
        <v>17000</v>
      </c>
      <c r="P4" s="1">
        <v>7032</v>
      </c>
    </row>
    <row r="5" spans="1:17" x14ac:dyDescent="0.35">
      <c r="A5" s="3">
        <v>45658</v>
      </c>
      <c r="B5" t="s">
        <v>7</v>
      </c>
      <c r="C5" t="s">
        <v>23</v>
      </c>
      <c r="D5" t="s">
        <v>9</v>
      </c>
      <c r="E5" t="s">
        <v>16</v>
      </c>
      <c r="F5" t="s">
        <v>13</v>
      </c>
      <c r="G5" t="s">
        <v>19</v>
      </c>
      <c r="H5" t="s">
        <v>20</v>
      </c>
      <c r="I5" s="1">
        <v>16800</v>
      </c>
      <c r="J5" s="1" cm="1">
        <f t="array" ref="J5">SUMPRODUCT($P$3:$P$999*((LEFT($H$3:$H$999,11)="Chai PET B1")*($A$3:$A$999=$A5)*(OR(($C$3:$C$999="101423"),($C$3:$C$999="101781")))))</f>
        <v>11401</v>
      </c>
      <c r="K5" s="1" cm="1">
        <f t="array" ref="K5">SUMPRODUCT($P$3:$P$999*(LEFT(H5,7)="Vảy PET")*((LEFT($H$3:$H$999,7)="Vảy PET")*($A$3:$A$999=$A5)*($C$3:$C$999=$C5)))</f>
        <v>0</v>
      </c>
      <c r="L5" s="1">
        <f t="shared" si="1"/>
        <v>0</v>
      </c>
      <c r="M5">
        <v>200</v>
      </c>
      <c r="N5" s="1">
        <f t="shared" si="0"/>
        <v>17000</v>
      </c>
      <c r="O5" s="1">
        <f>17118/1.025</f>
        <v>16700.487804878052</v>
      </c>
      <c r="P5" s="1">
        <v>1541</v>
      </c>
    </row>
    <row r="6" spans="1:17" x14ac:dyDescent="0.35">
      <c r="A6" s="3">
        <v>45658</v>
      </c>
      <c r="B6" t="s">
        <v>7</v>
      </c>
      <c r="C6" t="s">
        <v>23</v>
      </c>
      <c r="D6" t="s">
        <v>9</v>
      </c>
      <c r="E6" t="s">
        <v>16</v>
      </c>
      <c r="F6" t="s">
        <v>13</v>
      </c>
      <c r="G6" t="s">
        <v>26</v>
      </c>
      <c r="H6" t="s">
        <v>27</v>
      </c>
      <c r="I6" s="1">
        <v>16800</v>
      </c>
      <c r="J6" s="1" cm="1">
        <f t="array" ref="J6">SUMPRODUCT($P$3:$P$999*((LEFT($H$3:$H$999,11)="Chai PET B1")*($A$3:$A$999=$A6)*(OR(($C$3:$C$999="101423"),($C$3:$C$999="101781")))))</f>
        <v>11401</v>
      </c>
      <c r="K6" s="1" cm="1">
        <f t="array" ref="K6">SUMPRODUCT($P$3:$P$999*(LEFT(H6,7)="Vảy PET")*((LEFT($H$3:$H$999,7)="Vảy PET")*($A$3:$A$999=$A6)*($C$3:$C$999=$C6)))</f>
        <v>0</v>
      </c>
      <c r="L6" s="1">
        <f t="shared" si="1"/>
        <v>0</v>
      </c>
      <c r="M6">
        <v>200</v>
      </c>
      <c r="N6" s="1">
        <f t="shared" si="0"/>
        <v>17000</v>
      </c>
      <c r="O6" s="1">
        <f>16093/1.025</f>
        <v>15700.48780487805</v>
      </c>
      <c r="P6" s="1">
        <v>2828</v>
      </c>
    </row>
    <row r="7" spans="1:17" x14ac:dyDescent="0.35">
      <c r="A7" s="3">
        <v>45689</v>
      </c>
      <c r="B7" t="s">
        <v>29</v>
      </c>
      <c r="C7" t="s">
        <v>30</v>
      </c>
      <c r="D7" t="s">
        <v>31</v>
      </c>
      <c r="E7" t="s">
        <v>32</v>
      </c>
      <c r="F7" t="s">
        <v>32</v>
      </c>
      <c r="G7" t="s">
        <v>26</v>
      </c>
      <c r="H7" t="s">
        <v>27</v>
      </c>
      <c r="I7" s="1">
        <v>15800</v>
      </c>
      <c r="J7" s="1" cm="1">
        <f t="array" ref="J7">SUMPRODUCT($P$3:$P$999*((LEFT($H$3:$H$999,11)="Chai PET B1")*($A$3:$A$999=$A7)*(OR(($C$3:$C$999="101423"),($C$3:$C$999="101781")))))</f>
        <v>37520</v>
      </c>
      <c r="K7" s="1" cm="1">
        <f t="array" ref="K7">SUMPRODUCT($P$3:$P$999*(LEFT(H7,7)="Vảy PET")*((LEFT($H$3:$H$999,7)="Vảy PET")*($A$3:$A$999=$A7)*($C$3:$C$999=$C7)))</f>
        <v>0</v>
      </c>
      <c r="L7" s="1">
        <f t="shared" si="1"/>
        <v>0</v>
      </c>
      <c r="M7" s="2">
        <v>594</v>
      </c>
      <c r="N7" s="1">
        <f t="shared" si="0"/>
        <v>16394</v>
      </c>
      <c r="O7" s="1">
        <f t="shared" ref="O7" si="2">M7+N7</f>
        <v>16988</v>
      </c>
      <c r="P7" s="1">
        <v>37520</v>
      </c>
    </row>
    <row r="8" spans="1:17" x14ac:dyDescent="0.35">
      <c r="A8" s="3">
        <v>45717</v>
      </c>
      <c r="B8" t="s">
        <v>33</v>
      </c>
      <c r="C8" t="s">
        <v>34</v>
      </c>
      <c r="D8" t="s">
        <v>35</v>
      </c>
      <c r="G8" t="s">
        <v>19</v>
      </c>
      <c r="H8" t="s">
        <v>20</v>
      </c>
      <c r="I8" s="1">
        <v>17200</v>
      </c>
      <c r="J8" s="1" cm="1">
        <f t="array" ref="J8">SUMPRODUCT($P$3:$P$999*((LEFT($H$3:$H$999,11)="Chai PET B1")*($A$3:$A$999=$A8)*(OR(($C$3:$C$999="101423"),($C$3:$C$999="101781")))))</f>
        <v>66659</v>
      </c>
      <c r="K8" s="1" cm="1">
        <f t="array" ref="K8">SUMPRODUCT($P$3:$P$999*(LEFT(H8,7)="Vảy PET")*((LEFT($H$3:$H$999,7)="Vảy PET")*($A$3:$A$999=$A8)*($C$3:$C$999=$C8)))</f>
        <v>0</v>
      </c>
      <c r="L8" s="1">
        <f t="shared" si="1"/>
        <v>0</v>
      </c>
      <c r="M8">
        <v>200</v>
      </c>
      <c r="N8" s="1">
        <f t="shared" si="0"/>
        <v>17400</v>
      </c>
      <c r="O8" s="1">
        <v>16595.486979890651</v>
      </c>
      <c r="P8" s="1">
        <v>10791</v>
      </c>
      <c r="Q8" t="s">
        <v>55</v>
      </c>
    </row>
    <row r="9" spans="1:17" x14ac:dyDescent="0.35">
      <c r="A9" s="3">
        <v>45717</v>
      </c>
      <c r="B9" t="s">
        <v>33</v>
      </c>
      <c r="C9" t="s">
        <v>38</v>
      </c>
      <c r="D9" t="s">
        <v>39</v>
      </c>
      <c r="G9" t="s">
        <v>19</v>
      </c>
      <c r="H9" t="s">
        <v>20</v>
      </c>
      <c r="I9" s="1">
        <v>17200</v>
      </c>
      <c r="J9" s="1" cm="1">
        <f t="array" ref="J9">SUMPRODUCT($P$3:$P$999*((LEFT($H$3:$H$999,11)="Chai PET B1")*($A$3:$A$999=$A9)*(OR(($C$3:$C$999="101423"),($C$3:$C$999="101781")))))</f>
        <v>66659</v>
      </c>
      <c r="K9" s="1" cm="1">
        <f t="array" ref="K9">SUMPRODUCT($P$3:$P$999*(LEFT(H9,7)="Vảy PET")*((LEFT($H$3:$H$999,7)="Vảy PET")*($A$3:$A$999=$A9)*($C$3:$C$999=$C9)))</f>
        <v>0</v>
      </c>
      <c r="L9" s="1">
        <f t="shared" si="1"/>
        <v>0</v>
      </c>
      <c r="M9">
        <v>200</v>
      </c>
      <c r="N9" s="1">
        <f t="shared" si="0"/>
        <v>17400</v>
      </c>
      <c r="O9" s="1">
        <v>17400</v>
      </c>
      <c r="P9" s="1">
        <v>23858</v>
      </c>
      <c r="Q9" t="s">
        <v>40</v>
      </c>
    </row>
    <row r="10" spans="1:17" x14ac:dyDescent="0.35">
      <c r="A10" s="3">
        <v>45717</v>
      </c>
      <c r="B10" t="s">
        <v>33</v>
      </c>
      <c r="C10" t="s">
        <v>38</v>
      </c>
      <c r="D10" t="s">
        <v>39</v>
      </c>
      <c r="G10" t="s">
        <v>19</v>
      </c>
      <c r="H10" t="s">
        <v>20</v>
      </c>
      <c r="I10" s="1">
        <v>17200</v>
      </c>
      <c r="J10" s="1" cm="1">
        <f t="array" ref="J10">SUMPRODUCT($P$3:$P$999*((LEFT($H$3:$H$999,11)="Chai PET B1")*($A$3:$A$999=$A10)*(OR(($C$3:$C$999="101423"),($C$3:$C$999="101781")))))</f>
        <v>66659</v>
      </c>
      <c r="K10" s="1" cm="1">
        <f t="array" ref="K10">SUMPRODUCT($P$3:$P$999*(LEFT(H10,7)="Vảy PET")*((LEFT($H$3:$H$999,7)="Vảy PET")*($A$3:$A$999=$A10)*($C$3:$C$999=$C10)))</f>
        <v>0</v>
      </c>
      <c r="L10" s="1">
        <f t="shared" si="1"/>
        <v>0</v>
      </c>
      <c r="M10">
        <v>200</v>
      </c>
      <c r="N10" s="1">
        <f t="shared" si="0"/>
        <v>17400</v>
      </c>
      <c r="O10" s="1">
        <v>16400</v>
      </c>
      <c r="P10" s="1">
        <v>32010</v>
      </c>
      <c r="Q10" t="s">
        <v>37</v>
      </c>
    </row>
    <row r="11" spans="1:17" x14ac:dyDescent="0.35">
      <c r="A11" s="3">
        <v>45748</v>
      </c>
      <c r="B11" t="s">
        <v>43</v>
      </c>
      <c r="C11" t="s">
        <v>41</v>
      </c>
      <c r="D11" t="s">
        <v>42</v>
      </c>
      <c r="G11" t="s">
        <v>19</v>
      </c>
      <c r="H11" t="s">
        <v>20</v>
      </c>
      <c r="I11" s="1">
        <v>18000</v>
      </c>
      <c r="J11" s="1" cm="1">
        <f t="array" ref="J11">SUMPRODUCT($P$3:$P$999*((LEFT($H$3:$H$999,11)="Chai PET B1")*($A$3:$A$999=$A11)*(OR(($C$3:$C$999="101423"),($C$3:$C$999="101781")))))</f>
        <v>234042</v>
      </c>
      <c r="K11" s="1" cm="1">
        <f t="array" ref="K11">SUMPRODUCT($P$3:$P$999*(LEFT(H11,7)="Vảy PET")*((LEFT($H$3:$H$999,7)="Vảy PET")*($A$3:$A$999=$A11)*($C$3:$C$999=$C11)))</f>
        <v>0</v>
      </c>
      <c r="L11" s="1">
        <f t="shared" si="1"/>
        <v>0</v>
      </c>
      <c r="M11">
        <v>200</v>
      </c>
      <c r="N11" s="1">
        <f t="shared" si="0"/>
        <v>18200</v>
      </c>
      <c r="O11" s="1">
        <v>18178.208192928392</v>
      </c>
      <c r="P11" s="1">
        <v>208326</v>
      </c>
      <c r="Q11" t="s">
        <v>44</v>
      </c>
    </row>
    <row r="12" spans="1:17" x14ac:dyDescent="0.35">
      <c r="A12" s="3">
        <v>45748</v>
      </c>
      <c r="B12" t="s">
        <v>43</v>
      </c>
      <c r="C12" t="s">
        <v>41</v>
      </c>
      <c r="D12" t="s">
        <v>42</v>
      </c>
      <c r="G12" t="s">
        <v>19</v>
      </c>
      <c r="H12" t="s">
        <v>20</v>
      </c>
      <c r="I12" s="1">
        <v>18000</v>
      </c>
      <c r="J12" s="1" cm="1">
        <f t="array" ref="J12">SUMPRODUCT($P$3:$P$999*((LEFT($H$3:$H$999,11)="Chai PET B1")*($A$3:$A$999=$A12)*(OR(($C$3:$C$999="101423"),($C$3:$C$999="101781")))))</f>
        <v>234042</v>
      </c>
      <c r="K12" s="1" cm="1">
        <f t="array" ref="K12">SUMPRODUCT($P$3:$P$999*(LEFT(H12,7)="Vảy PET")*((LEFT($H$3:$H$999,7)="Vảy PET")*($A$3:$A$999=$A12)*($C$3:$C$999=$C12)))</f>
        <v>0</v>
      </c>
      <c r="L12" s="1">
        <f t="shared" si="1"/>
        <v>0</v>
      </c>
      <c r="M12">
        <v>200</v>
      </c>
      <c r="N12" s="1">
        <f t="shared" si="0"/>
        <v>18200</v>
      </c>
      <c r="O12" s="1">
        <v>17700</v>
      </c>
      <c r="P12" s="1">
        <v>10414</v>
      </c>
      <c r="Q12" t="s">
        <v>45</v>
      </c>
    </row>
    <row r="13" spans="1:17" x14ac:dyDescent="0.35">
      <c r="A13" s="3">
        <v>45748</v>
      </c>
      <c r="B13" t="s">
        <v>43</v>
      </c>
      <c r="C13" t="s">
        <v>41</v>
      </c>
      <c r="D13" t="s">
        <v>42</v>
      </c>
      <c r="G13" t="s">
        <v>19</v>
      </c>
      <c r="H13" t="s">
        <v>20</v>
      </c>
      <c r="I13" s="1">
        <v>18000</v>
      </c>
      <c r="J13" s="1" cm="1">
        <f t="array" ref="J13">SUMPRODUCT($P$3:$P$999*((LEFT($H$3:$H$999,11)="Chai PET B1")*($A$3:$A$999=$A13)*(OR(($C$3:$C$999="101423"),($C$3:$C$999="101781")))))</f>
        <v>234042</v>
      </c>
      <c r="K13" s="1" cm="1">
        <f t="array" ref="K13">SUMPRODUCT($P$3:$P$999*(LEFT(H13,7)="Vảy PET")*((LEFT($H$3:$H$999,7)="Vảy PET")*($A$3:$A$999=$A13)*($C$3:$C$999=$C13)))</f>
        <v>0</v>
      </c>
      <c r="L13" s="1">
        <f t="shared" si="1"/>
        <v>0</v>
      </c>
      <c r="M13">
        <v>200</v>
      </c>
      <c r="N13" s="1">
        <f t="shared" si="0"/>
        <v>18200</v>
      </c>
      <c r="O13" s="1">
        <v>17200</v>
      </c>
      <c r="P13" s="1">
        <v>15302</v>
      </c>
      <c r="Q13" t="s">
        <v>46</v>
      </c>
    </row>
    <row r="14" spans="1:17" x14ac:dyDescent="0.35">
      <c r="A14" s="3">
        <v>45748</v>
      </c>
      <c r="B14" t="s">
        <v>43</v>
      </c>
      <c r="C14" t="s">
        <v>41</v>
      </c>
      <c r="D14" t="s">
        <v>42</v>
      </c>
      <c r="G14" t="s">
        <v>47</v>
      </c>
      <c r="H14" t="s">
        <v>48</v>
      </c>
      <c r="I14" s="1">
        <v>19700</v>
      </c>
      <c r="J14" s="1">
        <f t="shared" ref="J14:J15" si="3">IF(AND(OR(C14="101423",C14="101787"),G14="150000003",P14&gt;100000),500,0)</f>
        <v>0</v>
      </c>
      <c r="K14" s="1" cm="1">
        <f t="array" ref="K14">SUMPRODUCT($P$3:$P$999*(LEFT(H14,7)="Vảy PET")*((LEFT($H$3:$H$999,7)="Vảy PET")*($A$3:$A$999=$A14)*($C$3:$C$999=$C14)))</f>
        <v>509926</v>
      </c>
      <c r="L14" s="1">
        <f t="shared" si="1"/>
        <v>500</v>
      </c>
      <c r="M14">
        <v>700</v>
      </c>
      <c r="N14" s="1">
        <f t="shared" si="0"/>
        <v>20400</v>
      </c>
      <c r="O14" s="1">
        <v>20400</v>
      </c>
      <c r="P14" s="1">
        <v>454522</v>
      </c>
    </row>
    <row r="15" spans="1:17" x14ac:dyDescent="0.35">
      <c r="A15" s="3">
        <v>45748</v>
      </c>
      <c r="B15" t="s">
        <v>43</v>
      </c>
      <c r="C15" t="s">
        <v>41</v>
      </c>
      <c r="D15" t="s">
        <v>42</v>
      </c>
      <c r="G15" t="s">
        <v>51</v>
      </c>
      <c r="H15" t="s">
        <v>53</v>
      </c>
      <c r="I15" s="1">
        <v>19200</v>
      </c>
      <c r="J15" s="1">
        <f t="shared" si="3"/>
        <v>0</v>
      </c>
      <c r="K15" s="1" cm="1">
        <f t="array" ref="K15">SUMPRODUCT($P$3:$P$999*(LEFT(H15,7)="Vảy PET")*((LEFT($H$3:$H$999,7)="Vảy PET")*($A$3:$A$999=$A15)*($C$3:$C$999=$C15)))</f>
        <v>509926</v>
      </c>
      <c r="L15" s="1">
        <f t="shared" si="1"/>
        <v>500</v>
      </c>
      <c r="M15">
        <v>700</v>
      </c>
      <c r="N15" s="1">
        <f t="shared" si="0"/>
        <v>19900</v>
      </c>
      <c r="O15" s="1">
        <v>19900</v>
      </c>
      <c r="P15" s="1">
        <v>55404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Thống kê chính sách</vt:lpstr>
      <vt:lpstr>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Huyền, Lữ Ngọc Mỹ</dc:creator>
  <cp:lastModifiedBy>Huyền, Lữ Ngọc Mỹ</cp:lastModifiedBy>
  <dcterms:created xsi:type="dcterms:W3CDTF">2025-07-11T01:27:03Z</dcterms:created>
  <dcterms:modified xsi:type="dcterms:W3CDTF">2025-10-21T04:11:39Z</dcterms:modified>
</cp:coreProperties>
</file>