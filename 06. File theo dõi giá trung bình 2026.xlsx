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3. SẢN XUẤT 2 - TRÚC/"/>
    </mc:Choice>
  </mc:AlternateContent>
  <xr:revisionPtr revIDLastSave="199" documentId="8_{ACD47625-28C8-42E2-82BE-FD0E0591690E}" xr6:coauthVersionLast="47" xr6:coauthVersionMax="47" xr10:uidLastSave="{3DBEE2FF-1098-4F8F-A713-362093163424}"/>
  <bookViews>
    <workbookView xWindow="-110" yWindow="-110" windowWidth="19420" windowHeight="10300" xr2:uid="{1385CBB9-2770-4E3F-AE0C-77BEB871DBDE}"/>
  </bookViews>
  <sheets>
    <sheet name="Giá TB hàng tháng" sheetId="1" r:id="rId1"/>
    <sheet name="Giá BQ lũy kế" sheetId="2" r:id="rId2"/>
  </sheets>
  <definedNames>
    <definedName name="_xlnm._FilterDatabase" localSheetId="1" hidden="1">'Giá BQ lũy kế'!$B$5:$P$5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2" i="1"/>
  <c r="J2" i="1" s="1"/>
  <c r="I17" i="1"/>
  <c r="J17" i="1" s="1"/>
  <c r="I16" i="1"/>
  <c r="J16" i="1" s="1"/>
  <c r="I31" i="1"/>
  <c r="J31" i="1" s="1"/>
  <c r="I30" i="1"/>
  <c r="J30" i="1" s="1"/>
  <c r="R8" i="1"/>
  <c r="S8" i="1" s="1"/>
  <c r="R5" i="1"/>
  <c r="S5" i="1" s="1"/>
  <c r="R22" i="1"/>
  <c r="S22" i="1" s="1"/>
  <c r="R19" i="1"/>
  <c r="S19" i="1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I45" i="1"/>
  <c r="J45" i="1" s="1"/>
  <c r="I44" i="1"/>
  <c r="J44" i="1" s="1"/>
  <c r="R36" i="1"/>
  <c r="S36" i="1" s="1"/>
  <c r="R33" i="1"/>
  <c r="S33" i="1" s="1"/>
  <c r="G33" i="1"/>
  <c r="G36" i="1"/>
  <c r="G22" i="1"/>
  <c r="G19" i="1"/>
  <c r="G8" i="1"/>
  <c r="G5" i="1"/>
  <c r="I2" i="2" l="1"/>
  <c r="J3" i="2"/>
  <c r="I3" i="2"/>
  <c r="K3" i="2" s="1"/>
  <c r="M3" i="2" s="1"/>
  <c r="J2" i="2"/>
  <c r="J1" i="2" l="1"/>
  <c r="K2" i="2"/>
  <c r="M2" i="2" s="1"/>
  <c r="I1" i="2"/>
</calcChain>
</file>

<file path=xl/sharedStrings.xml><?xml version="1.0" encoding="utf-8"?>
<sst xmlns="http://schemas.openxmlformats.org/spreadsheetml/2006/main" count="446" uniqueCount="45">
  <si>
    <t>Material</t>
  </si>
  <si>
    <t>Material Description</t>
  </si>
  <si>
    <t>BUn</t>
  </si>
  <si>
    <t>From Date</t>
  </si>
  <si>
    <t>To Date</t>
  </si>
  <si>
    <t>Opening Sto</t>
  </si>
  <si>
    <t>Total Recei</t>
  </si>
  <si>
    <t>Total Issue</t>
  </si>
  <si>
    <t>Closing Sto</t>
  </si>
  <si>
    <t xml:space="preserve">   Opening Value</t>
  </si>
  <si>
    <t>Total Receipt Va</t>
  </si>
  <si>
    <t>Total Issue Valu</t>
  </si>
  <si>
    <t xml:space="preserve">   Closing Value</t>
  </si>
  <si>
    <t>Crcy</t>
  </si>
  <si>
    <t>KG</t>
  </si>
  <si>
    <t>VND</t>
  </si>
  <si>
    <t>Vảy PET B1_A5.1</t>
  </si>
  <si>
    <t>Vảy PET B1_A5.2_R1</t>
  </si>
  <si>
    <t>Vảy PET B1_A5.2_R2</t>
  </si>
  <si>
    <t>Vảy PET B1_A6</t>
  </si>
  <si>
    <t>Vảy HD Thổi Trong HV-01.1</t>
  </si>
  <si>
    <t>Vảy HD Thổi Trong HV-01.2</t>
  </si>
  <si>
    <t>Vảy HD Thổi Trong HV-01.3</t>
  </si>
  <si>
    <t>Chai PET-B1.1 - Có nắp</t>
  </si>
  <si>
    <t>Chai PET-B1.2 - Có nắp</t>
  </si>
  <si>
    <t>Chai PET-B1.3 - Có nắp</t>
  </si>
  <si>
    <t>Chai</t>
  </si>
  <si>
    <t>Vảy</t>
  </si>
  <si>
    <t>Tháng 1</t>
  </si>
  <si>
    <t>01.01.2026</t>
  </si>
  <si>
    <t>31.01.2026</t>
  </si>
  <si>
    <t>01.02.2026</t>
  </si>
  <si>
    <t>28.02.2026</t>
  </si>
  <si>
    <t>Tháng 2</t>
  </si>
  <si>
    <t>01.03.2026</t>
  </si>
  <si>
    <t>31.03.2026</t>
  </si>
  <si>
    <t>Tháng 3</t>
  </si>
  <si>
    <t>Tháng 4</t>
  </si>
  <si>
    <t>01.04.2026</t>
  </si>
  <si>
    <t>30.04.2026</t>
  </si>
  <si>
    <t xml:space="preserve">Vảy </t>
  </si>
  <si>
    <t>Giá kế hoạch</t>
  </si>
  <si>
    <t>Chênh lệch giá</t>
  </si>
  <si>
    <t>Giá BQ lũy kế</t>
  </si>
  <si>
    <t>Phân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</si>
</sst>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2" fillId="2" borderId="0" xfId="0" applyFont="1" applyFill="1"/>
    <xf numFmtId="164" fontId="2" fillId="2" borderId="0" xfId="1" applyNumberFormat="1" applyFont="1" applyFill="1"/>
    <xf numFmtId="164" fontId="4" fillId="3" borderId="0" xfId="1" applyNumberFormat="1" applyFont="1" applyFill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164" fontId="3" fillId="4" borderId="0" xfId="0" applyNumberFormat="1" applyFont="1" applyFill="1"/>
    <xf numFmtId="0" fontId="3" fillId="0" borderId="0" xfId="0" applyFont="1"/>
    <xf numFmtId="164" fontId="3" fillId="0" borderId="0" xfId="1" applyNumberFormat="1" applyFont="1"/>
    <xf numFmtId="164" fontId="0" fillId="0" borderId="0" xfId="1" applyNumberFormat="1" applyFont="1" applyFill="1"/>
    <xf numFmtId="3" fontId="0" fillId="0" borderId="0" xfId="0" applyNumberForma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E4C1-FF81-4B9B-A856-247E4715972E}">
  <dimension ref="A2:S68"/>
  <sheetViews>
    <sheetView tabSelected="1" topLeftCell="A42" zoomScaleNormal="100" workbookViewId="0">
      <selection activeCell="J56" sqref="J56"/>
    </sheetView>
  </sheetViews>
  <sheetFormatPr defaultRowHeight="14.5" x14ac:dyDescent="0.35"/>
  <cols>
    <col min="2" max="2" width="9.81640625" bestFit="1" customWidth="1"/>
    <col min="3" max="3" width="22.36328125" bestFit="1" customWidth="1"/>
    <col min="4" max="4" width="4.26953125" bestFit="1" customWidth="1"/>
    <col min="5" max="6" width="9.90625" bestFit="1" customWidth="1"/>
    <col min="7" max="7" width="10.90625" bestFit="1" customWidth="1"/>
    <col min="8" max="8" width="11.26953125" style="2" bestFit="1" customWidth="1"/>
    <col min="9" max="9" width="11" style="2" bestFit="1" customWidth="1"/>
    <col min="10" max="10" width="11.453125" style="2" bestFit="1" customWidth="1"/>
    <col min="11" max="11" width="15.36328125" style="2" bestFit="1" customWidth="1"/>
    <col min="12" max="12" width="15.54296875" style="2" bestFit="1" customWidth="1"/>
    <col min="13" max="13" width="15.1796875" style="2" bestFit="1" customWidth="1"/>
    <col min="14" max="14" width="15.453125" style="2" bestFit="1" customWidth="1"/>
    <col min="15" max="15" width="14.81640625" style="2" bestFit="1" customWidth="1"/>
    <col min="16" max="16" width="4.54296875" style="2" bestFit="1" customWidth="1"/>
  </cols>
  <sheetData>
    <row r="2" spans="2:19" x14ac:dyDescent="0.35">
      <c r="G2" t="s">
        <v>26</v>
      </c>
      <c r="H2" s="2">
        <v>15000</v>
      </c>
      <c r="I2" s="1">
        <f>SUM(N5:N7)/SUM(J5:J7)</f>
        <v>15644.320136922701</v>
      </c>
      <c r="J2" s="4">
        <f>I2-H2</f>
        <v>644.32013692270084</v>
      </c>
    </row>
    <row r="3" spans="2:19" x14ac:dyDescent="0.35">
      <c r="G3" t="s">
        <v>27</v>
      </c>
      <c r="H3" s="2">
        <v>16500</v>
      </c>
      <c r="I3" s="1">
        <f>SUM(N8:N14)/SUM(J8:J14)</f>
        <v>16059.836888637778</v>
      </c>
      <c r="J3" s="4">
        <f>I3-H3</f>
        <v>-440.16311136222248</v>
      </c>
    </row>
    <row r="4" spans="2:19" x14ac:dyDescent="0.35">
      <c r="B4" t="s">
        <v>28</v>
      </c>
    </row>
    <row r="5" spans="2:19" x14ac:dyDescent="0.35">
      <c r="B5">
        <v>150000003</v>
      </c>
      <c r="C5" t="s">
        <v>23</v>
      </c>
      <c r="D5" t="s">
        <v>14</v>
      </c>
      <c r="E5" t="s">
        <v>29</v>
      </c>
      <c r="F5" t="s">
        <v>30</v>
      </c>
      <c r="G5" s="1">
        <f>SUM(O5:O7)/SUM(K5:K7)</f>
        <v>15249.860467084172</v>
      </c>
      <c r="H5" s="2">
        <v>231392.00399999999</v>
      </c>
      <c r="I5" s="2">
        <v>1034231</v>
      </c>
      <c r="J5" s="2">
        <v>-775808</v>
      </c>
      <c r="K5" s="2">
        <v>489815.00400000002</v>
      </c>
      <c r="L5" s="2">
        <v>4057253448</v>
      </c>
      <c r="M5" s="2">
        <v>15509522255</v>
      </c>
      <c r="N5" s="2">
        <v>-12149304370</v>
      </c>
      <c r="O5" s="2">
        <v>7417471333</v>
      </c>
      <c r="P5" s="2" t="s">
        <v>15</v>
      </c>
      <c r="R5" s="1">
        <f>SUM(N5:N7)/SUM(J5:J7)</f>
        <v>15644.320136922701</v>
      </c>
      <c r="S5" s="4">
        <f>R5-H2</f>
        <v>644.32013692270084</v>
      </c>
    </row>
    <row r="6" spans="2:19" x14ac:dyDescent="0.35">
      <c r="B6">
        <v>150000113</v>
      </c>
      <c r="C6" t="s">
        <v>24</v>
      </c>
      <c r="D6" t="s">
        <v>14</v>
      </c>
      <c r="E6" t="s">
        <v>29</v>
      </c>
      <c r="F6" t="s">
        <v>30</v>
      </c>
      <c r="H6" s="2">
        <v>261722</v>
      </c>
      <c r="I6" s="2">
        <v>131618</v>
      </c>
      <c r="J6" s="2">
        <v>-79273</v>
      </c>
      <c r="K6" s="2">
        <v>314067</v>
      </c>
      <c r="L6" s="2">
        <v>4095203597</v>
      </c>
      <c r="M6" s="2">
        <v>1974270000</v>
      </c>
      <c r="N6" s="2">
        <v>-1227856537</v>
      </c>
      <c r="O6" s="2">
        <v>4841617060</v>
      </c>
      <c r="P6" s="2" t="s">
        <v>15</v>
      </c>
    </row>
    <row r="7" spans="2:19" x14ac:dyDescent="0.35">
      <c r="B7">
        <v>150000187</v>
      </c>
      <c r="C7" t="s">
        <v>25</v>
      </c>
      <c r="D7" t="s">
        <v>14</v>
      </c>
      <c r="E7" t="s">
        <v>29</v>
      </c>
      <c r="F7" t="s">
        <v>30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 t="s">
        <v>15</v>
      </c>
    </row>
    <row r="8" spans="2:19" x14ac:dyDescent="0.35">
      <c r="B8">
        <v>150000051</v>
      </c>
      <c r="C8" t="s">
        <v>16</v>
      </c>
      <c r="D8" t="s">
        <v>14</v>
      </c>
      <c r="E8" t="s">
        <v>29</v>
      </c>
      <c r="F8" t="s">
        <v>30</v>
      </c>
      <c r="G8" s="1">
        <f>SUM(O8:O14)/SUM(K8:K14)</f>
        <v>15940.697092233502</v>
      </c>
      <c r="H8" s="2">
        <v>286878</v>
      </c>
      <c r="I8" s="2">
        <v>1789238</v>
      </c>
      <c r="J8" s="2">
        <v>-1395479</v>
      </c>
      <c r="K8" s="2">
        <v>680637</v>
      </c>
      <c r="L8" s="2">
        <v>4606605727</v>
      </c>
      <c r="M8" s="2">
        <v>28742660584</v>
      </c>
      <c r="N8" s="2">
        <v>-22433345696</v>
      </c>
      <c r="O8" s="2">
        <v>10915920615</v>
      </c>
      <c r="P8" s="2" t="s">
        <v>15</v>
      </c>
      <c r="R8" s="1">
        <f>SUM(N8:N14)/SUM(J8:J14)</f>
        <v>16059.836888637778</v>
      </c>
      <c r="S8" s="4">
        <f>R8-H3</f>
        <v>-440.16311136222248</v>
      </c>
    </row>
    <row r="9" spans="2:19" x14ac:dyDescent="0.35">
      <c r="B9">
        <v>150000189</v>
      </c>
      <c r="C9" t="s">
        <v>17</v>
      </c>
      <c r="D9" t="s">
        <v>14</v>
      </c>
      <c r="E9" t="s">
        <v>29</v>
      </c>
      <c r="F9" t="s">
        <v>30</v>
      </c>
      <c r="H9" s="2">
        <v>0</v>
      </c>
      <c r="I9" s="2">
        <v>66551</v>
      </c>
      <c r="J9" s="2">
        <v>0</v>
      </c>
      <c r="K9" s="2">
        <v>66551</v>
      </c>
      <c r="L9" s="2">
        <v>0</v>
      </c>
      <c r="M9" s="2">
        <v>1051505800</v>
      </c>
      <c r="N9" s="2">
        <v>0</v>
      </c>
      <c r="O9" s="2">
        <v>1051505800</v>
      </c>
      <c r="P9" s="2" t="s">
        <v>15</v>
      </c>
    </row>
    <row r="10" spans="2:19" x14ac:dyDescent="0.35">
      <c r="B10">
        <v>150000052</v>
      </c>
      <c r="C10" t="s">
        <v>18</v>
      </c>
      <c r="D10" t="s">
        <v>14</v>
      </c>
      <c r="E10" t="s">
        <v>29</v>
      </c>
      <c r="F10" t="s">
        <v>30</v>
      </c>
      <c r="H10" s="2">
        <v>196990</v>
      </c>
      <c r="I10" s="2">
        <v>292184</v>
      </c>
      <c r="J10" s="2">
        <v>-132510</v>
      </c>
      <c r="K10" s="2">
        <v>356664</v>
      </c>
      <c r="L10" s="2">
        <v>3281788316</v>
      </c>
      <c r="M10" s="2">
        <v>4574832700</v>
      </c>
      <c r="N10" s="2">
        <v>-2179623108</v>
      </c>
      <c r="O10" s="2">
        <v>5676997908</v>
      </c>
      <c r="P10" s="2" t="s">
        <v>15</v>
      </c>
    </row>
    <row r="11" spans="2:19" x14ac:dyDescent="0.35">
      <c r="B11">
        <v>150000053</v>
      </c>
      <c r="C11" t="s">
        <v>19</v>
      </c>
      <c r="D11" t="s">
        <v>14</v>
      </c>
      <c r="E11" t="s">
        <v>29</v>
      </c>
      <c r="F11" t="s">
        <v>30</v>
      </c>
      <c r="H11" s="2">
        <v>21928</v>
      </c>
      <c r="I11" s="2">
        <v>75780</v>
      </c>
      <c r="J11" s="2">
        <v>-56076</v>
      </c>
      <c r="K11" s="2">
        <v>41632</v>
      </c>
      <c r="L11" s="2">
        <v>320701862</v>
      </c>
      <c r="M11" s="2">
        <v>1121544000</v>
      </c>
      <c r="N11" s="2">
        <v>-826856717</v>
      </c>
      <c r="O11" s="2">
        <v>615389145</v>
      </c>
      <c r="P11" s="2" t="s">
        <v>15</v>
      </c>
    </row>
    <row r="12" spans="2:19" x14ac:dyDescent="0.35">
      <c r="B12">
        <v>150000008</v>
      </c>
      <c r="C12" t="s">
        <v>20</v>
      </c>
      <c r="D12" t="s">
        <v>14</v>
      </c>
      <c r="E12" t="s">
        <v>29</v>
      </c>
      <c r="F12" t="s">
        <v>30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 t="s">
        <v>15</v>
      </c>
    </row>
    <row r="13" spans="2:19" x14ac:dyDescent="0.35">
      <c r="B13">
        <v>150000036</v>
      </c>
      <c r="C13" t="s">
        <v>21</v>
      </c>
      <c r="D13" t="s">
        <v>14</v>
      </c>
      <c r="E13" t="s">
        <v>29</v>
      </c>
      <c r="F13" t="s">
        <v>30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s">
        <v>15</v>
      </c>
    </row>
    <row r="14" spans="2:19" x14ac:dyDescent="0.35">
      <c r="B14">
        <v>150000047</v>
      </c>
      <c r="C14" t="s">
        <v>22</v>
      </c>
      <c r="D14" t="s">
        <v>14</v>
      </c>
      <c r="E14" t="s">
        <v>29</v>
      </c>
      <c r="F14" t="s">
        <v>30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15</v>
      </c>
    </row>
    <row r="16" spans="2:19" x14ac:dyDescent="0.35">
      <c r="G16" t="s">
        <v>26</v>
      </c>
      <c r="H16" s="2">
        <v>15000</v>
      </c>
      <c r="I16" s="1">
        <f>SUM(N19:N21)/SUM(J19:J21)</f>
        <v>15072.366582446824</v>
      </c>
      <c r="J16" s="4">
        <f>I16-H16</f>
        <v>72.366582446824395</v>
      </c>
    </row>
    <row r="17" spans="1:19" x14ac:dyDescent="0.35">
      <c r="G17" t="s">
        <v>27</v>
      </c>
      <c r="H17" s="2">
        <v>16500</v>
      </c>
      <c r="I17" s="1">
        <f>SUM(N22:N28)/SUM(J22:J28)</f>
        <v>15997.589821774158</v>
      </c>
      <c r="J17" s="4">
        <f>I17-H17</f>
        <v>-502.41017822584217</v>
      </c>
    </row>
    <row r="18" spans="1:19" x14ac:dyDescent="0.35">
      <c r="B18" t="s">
        <v>33</v>
      </c>
    </row>
    <row r="19" spans="1:19" x14ac:dyDescent="0.35">
      <c r="A19">
        <v>1</v>
      </c>
      <c r="B19">
        <v>150000003</v>
      </c>
      <c r="C19" t="s">
        <v>23</v>
      </c>
      <c r="D19" t="s">
        <v>14</v>
      </c>
      <c r="E19" t="s">
        <v>31</v>
      </c>
      <c r="F19" t="s">
        <v>32</v>
      </c>
      <c r="G19" s="1">
        <f>SUM(O19:O21)/SUM(K19:K21)</f>
        <v>15181.203385313131</v>
      </c>
      <c r="H19" s="2">
        <v>489815.00400000002</v>
      </c>
      <c r="I19" s="2">
        <v>716610</v>
      </c>
      <c r="J19" s="2">
        <v>-797398</v>
      </c>
      <c r="K19" s="2">
        <v>409027.00400000002</v>
      </c>
      <c r="L19" s="2">
        <v>7417471333</v>
      </c>
      <c r="M19" s="2">
        <v>10762003679</v>
      </c>
      <c r="N19" s="2">
        <v>-12020172884</v>
      </c>
      <c r="O19" s="2">
        <v>6159302128</v>
      </c>
      <c r="P19" s="2" t="s">
        <v>15</v>
      </c>
      <c r="R19" s="1">
        <f>SUM(N19:N21)/SUM(J19:J21)</f>
        <v>15072.366582446824</v>
      </c>
      <c r="S19" s="4">
        <f>R19-H16</f>
        <v>72.366582446824395</v>
      </c>
    </row>
    <row r="20" spans="1:19" x14ac:dyDescent="0.35">
      <c r="A20">
        <v>2</v>
      </c>
      <c r="B20">
        <v>150000113</v>
      </c>
      <c r="C20" t="s">
        <v>24</v>
      </c>
      <c r="D20" t="s">
        <v>14</v>
      </c>
      <c r="E20" t="s">
        <v>31</v>
      </c>
      <c r="F20" t="s">
        <v>32</v>
      </c>
      <c r="H20" s="2">
        <v>314067</v>
      </c>
      <c r="I20" s="2">
        <v>140917</v>
      </c>
      <c r="J20" s="2">
        <v>-20699</v>
      </c>
      <c r="K20" s="2">
        <v>434285</v>
      </c>
      <c r="L20" s="2">
        <v>4841617060</v>
      </c>
      <c r="M20" s="2">
        <v>2112056862</v>
      </c>
      <c r="N20" s="2">
        <v>-310485000</v>
      </c>
      <c r="O20" s="2">
        <v>6643188922</v>
      </c>
      <c r="P20" s="2" t="s">
        <v>15</v>
      </c>
    </row>
    <row r="21" spans="1:19" x14ac:dyDescent="0.35">
      <c r="A21">
        <v>3</v>
      </c>
      <c r="B21">
        <v>150000187</v>
      </c>
      <c r="C21" t="s">
        <v>25</v>
      </c>
      <c r="D21" t="s">
        <v>14</v>
      </c>
      <c r="E21" t="s">
        <v>31</v>
      </c>
      <c r="F21" t="s">
        <v>32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s">
        <v>15</v>
      </c>
    </row>
    <row r="22" spans="1:19" x14ac:dyDescent="0.35">
      <c r="A22">
        <v>4</v>
      </c>
      <c r="B22">
        <v>150000051</v>
      </c>
      <c r="C22" t="s">
        <v>16</v>
      </c>
      <c r="D22" t="s">
        <v>14</v>
      </c>
      <c r="E22" t="s">
        <v>31</v>
      </c>
      <c r="F22" t="s">
        <v>32</v>
      </c>
      <c r="G22" s="1">
        <f>SUM(O22:O28)/SUM(K22:K28)</f>
        <v>15799.523082776788</v>
      </c>
      <c r="H22" s="2">
        <v>680637</v>
      </c>
      <c r="I22" s="2">
        <v>998084</v>
      </c>
      <c r="J22" s="2">
        <v>-1286814</v>
      </c>
      <c r="K22" s="2">
        <v>391907</v>
      </c>
      <c r="L22" s="2">
        <v>10915920615</v>
      </c>
      <c r="M22" s="2">
        <v>15991243754</v>
      </c>
      <c r="N22" s="2">
        <v>-20616849026</v>
      </c>
      <c r="O22" s="2">
        <v>6290315343</v>
      </c>
      <c r="P22" s="2" t="s">
        <v>15</v>
      </c>
      <c r="R22" s="1">
        <f>SUM(N22:N28)/SUM(J22:J28)</f>
        <v>15997.589821774158</v>
      </c>
      <c r="S22" s="4">
        <f>R22-H17</f>
        <v>-502.41017822584217</v>
      </c>
    </row>
    <row r="23" spans="1:19" x14ac:dyDescent="0.35">
      <c r="A23">
        <v>5</v>
      </c>
      <c r="B23">
        <v>150000189</v>
      </c>
      <c r="C23" t="s">
        <v>17</v>
      </c>
      <c r="D23" t="s">
        <v>14</v>
      </c>
      <c r="E23" t="s">
        <v>31</v>
      </c>
      <c r="F23" t="s">
        <v>32</v>
      </c>
      <c r="H23" s="2">
        <v>66551</v>
      </c>
      <c r="I23" s="2">
        <v>20861</v>
      </c>
      <c r="J23" s="2">
        <v>-87412</v>
      </c>
      <c r="K23" s="2">
        <v>0</v>
      </c>
      <c r="L23" s="2">
        <v>1051505800</v>
      </c>
      <c r="M23" s="2">
        <v>329603800</v>
      </c>
      <c r="N23" s="2">
        <v>-1381109600</v>
      </c>
      <c r="O23" s="2">
        <v>0</v>
      </c>
      <c r="P23" s="2" t="s">
        <v>15</v>
      </c>
    </row>
    <row r="24" spans="1:19" x14ac:dyDescent="0.35">
      <c r="A24">
        <v>6</v>
      </c>
      <c r="B24">
        <v>150000052</v>
      </c>
      <c r="C24" t="s">
        <v>18</v>
      </c>
      <c r="D24" t="s">
        <v>14</v>
      </c>
      <c r="E24" t="s">
        <v>31</v>
      </c>
      <c r="F24" t="s">
        <v>32</v>
      </c>
      <c r="H24" s="2">
        <v>356664</v>
      </c>
      <c r="I24" s="2">
        <v>177764</v>
      </c>
      <c r="J24" s="2">
        <v>-136666</v>
      </c>
      <c r="K24" s="2">
        <v>397762</v>
      </c>
      <c r="L24" s="2">
        <v>5676997908</v>
      </c>
      <c r="M24" s="2">
        <v>2789462200</v>
      </c>
      <c r="N24" s="2">
        <v>-2167583455</v>
      </c>
      <c r="O24" s="2">
        <v>6298876653</v>
      </c>
      <c r="P24" s="2" t="s">
        <v>15</v>
      </c>
    </row>
    <row r="25" spans="1:19" x14ac:dyDescent="0.35">
      <c r="A25">
        <v>7</v>
      </c>
      <c r="B25">
        <v>150000053</v>
      </c>
      <c r="C25" t="s">
        <v>19</v>
      </c>
      <c r="D25" t="s">
        <v>14</v>
      </c>
      <c r="E25" t="s">
        <v>31</v>
      </c>
      <c r="F25" t="s">
        <v>32</v>
      </c>
      <c r="H25" s="2">
        <v>41632</v>
      </c>
      <c r="I25" s="2">
        <v>96447</v>
      </c>
      <c r="J25" s="2">
        <v>0</v>
      </c>
      <c r="K25" s="2">
        <v>138079</v>
      </c>
      <c r="L25" s="2">
        <v>615389145</v>
      </c>
      <c r="M25" s="2">
        <v>1458483200</v>
      </c>
      <c r="N25" s="2">
        <v>-5088400</v>
      </c>
      <c r="O25" s="2">
        <v>2068783945</v>
      </c>
      <c r="P25" s="2" t="s">
        <v>15</v>
      </c>
    </row>
    <row r="26" spans="1:19" x14ac:dyDescent="0.35">
      <c r="A26">
        <v>8</v>
      </c>
      <c r="B26">
        <v>150000008</v>
      </c>
      <c r="C26" t="s">
        <v>20</v>
      </c>
      <c r="D26" t="s">
        <v>14</v>
      </c>
      <c r="E26" t="s">
        <v>31</v>
      </c>
      <c r="F26" t="s">
        <v>32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 t="s">
        <v>15</v>
      </c>
    </row>
    <row r="27" spans="1:19" x14ac:dyDescent="0.35">
      <c r="A27">
        <v>9</v>
      </c>
      <c r="B27">
        <v>150000036</v>
      </c>
      <c r="C27" t="s">
        <v>21</v>
      </c>
      <c r="D27" t="s">
        <v>14</v>
      </c>
      <c r="E27" t="s">
        <v>31</v>
      </c>
      <c r="F27" t="s">
        <v>32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15</v>
      </c>
    </row>
    <row r="28" spans="1:19" x14ac:dyDescent="0.35">
      <c r="A28">
        <v>10</v>
      </c>
      <c r="B28">
        <v>150000047</v>
      </c>
      <c r="C28" t="s">
        <v>22</v>
      </c>
      <c r="D28" t="s">
        <v>14</v>
      </c>
      <c r="E28" t="s">
        <v>31</v>
      </c>
      <c r="F28" t="s">
        <v>32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15</v>
      </c>
    </row>
    <row r="30" spans="1:19" x14ac:dyDescent="0.35">
      <c r="G30" t="s">
        <v>26</v>
      </c>
      <c r="H30" s="2">
        <v>15000</v>
      </c>
      <c r="I30" s="1">
        <f>SUM(N33:N35)/SUM(J33:J35)</f>
        <v>15219.980479836651</v>
      </c>
      <c r="J30" s="4">
        <f>I30-H30</f>
        <v>219.98047983665128</v>
      </c>
    </row>
    <row r="31" spans="1:19" x14ac:dyDescent="0.35">
      <c r="G31" t="s">
        <v>27</v>
      </c>
      <c r="H31" s="2">
        <v>16500</v>
      </c>
      <c r="I31" s="1">
        <f>SUM(N36:N42)/SUM(J36:J42)</f>
        <v>16065.246272604567</v>
      </c>
      <c r="J31" s="4">
        <f>I31-H31</f>
        <v>-434.75372739543309</v>
      </c>
    </row>
    <row r="32" spans="1:19" x14ac:dyDescent="0.35">
      <c r="B32" t="s">
        <v>36</v>
      </c>
    </row>
    <row r="33" spans="1:19" x14ac:dyDescent="0.35">
      <c r="A33">
        <v>1</v>
      </c>
      <c r="B33">
        <v>150000003</v>
      </c>
      <c r="C33" t="s">
        <v>23</v>
      </c>
      <c r="D33" t="s">
        <v>14</v>
      </c>
      <c r="E33" t="s">
        <v>34</v>
      </c>
      <c r="F33" t="s">
        <v>35</v>
      </c>
      <c r="G33" s="1">
        <f>SUM(O33:O35)/SUM(K33:K35)</f>
        <v>14814.238962646736</v>
      </c>
      <c r="H33">
        <v>409027.00400000002</v>
      </c>
      <c r="I33">
        <v>1007823</v>
      </c>
      <c r="J33">
        <v>-1058233</v>
      </c>
      <c r="K33">
        <v>358617.00400000002</v>
      </c>
      <c r="L33" s="1">
        <v>6159302128</v>
      </c>
      <c r="M33" s="1">
        <v>15319941743</v>
      </c>
      <c r="N33" s="1">
        <v>-16190510501</v>
      </c>
      <c r="O33" s="1">
        <v>5288733370</v>
      </c>
      <c r="P33" t="s">
        <v>15</v>
      </c>
      <c r="R33" s="1">
        <f>SUM(N33:N35)/SUM(J33:J35)</f>
        <v>15219.980479836651</v>
      </c>
      <c r="S33" s="4">
        <f>R33-H30</f>
        <v>219.98047983665128</v>
      </c>
    </row>
    <row r="34" spans="1:19" x14ac:dyDescent="0.35">
      <c r="A34">
        <v>2</v>
      </c>
      <c r="B34">
        <v>150000113</v>
      </c>
      <c r="C34" t="s">
        <v>24</v>
      </c>
      <c r="D34" t="s">
        <v>14</v>
      </c>
      <c r="E34" t="s">
        <v>34</v>
      </c>
      <c r="F34" t="s">
        <v>35</v>
      </c>
      <c r="H34" s="3">
        <v>434285</v>
      </c>
      <c r="I34" s="3">
        <v>575045</v>
      </c>
      <c r="J34" s="3">
        <v>-606917</v>
      </c>
      <c r="K34" s="3">
        <v>402413</v>
      </c>
      <c r="L34" s="1">
        <v>6643188922</v>
      </c>
      <c r="M34" s="1">
        <v>8495198040</v>
      </c>
      <c r="N34" s="1">
        <v>-9153039995</v>
      </c>
      <c r="O34" s="1">
        <v>5985346967</v>
      </c>
      <c r="P34" t="s">
        <v>15</v>
      </c>
    </row>
    <row r="35" spans="1:19" x14ac:dyDescent="0.35">
      <c r="A35">
        <v>3</v>
      </c>
      <c r="B35">
        <v>150000187</v>
      </c>
      <c r="C35" t="s">
        <v>25</v>
      </c>
      <c r="D35" t="s">
        <v>14</v>
      </c>
      <c r="E35" t="s">
        <v>34</v>
      </c>
      <c r="F35" t="s">
        <v>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15</v>
      </c>
    </row>
    <row r="36" spans="1:19" x14ac:dyDescent="0.35">
      <c r="A36">
        <v>4</v>
      </c>
      <c r="B36">
        <v>150000051</v>
      </c>
      <c r="C36" t="s">
        <v>16</v>
      </c>
      <c r="D36" t="s">
        <v>14</v>
      </c>
      <c r="E36" t="s">
        <v>34</v>
      </c>
      <c r="F36" t="s">
        <v>35</v>
      </c>
      <c r="G36" s="1">
        <f>SUM(O36:O42)/SUM(K36:K42)</f>
        <v>16001.096051216047</v>
      </c>
      <c r="H36" s="3">
        <v>391907</v>
      </c>
      <c r="I36">
        <v>1504035</v>
      </c>
      <c r="J36">
        <v>-1681149</v>
      </c>
      <c r="K36" s="3">
        <v>214793</v>
      </c>
      <c r="L36" s="1">
        <v>6290315343</v>
      </c>
      <c r="M36" s="1">
        <v>24378270279</v>
      </c>
      <c r="N36" s="1">
        <v>-27134044776</v>
      </c>
      <c r="O36" s="1">
        <v>3534540846</v>
      </c>
      <c r="P36" t="s">
        <v>15</v>
      </c>
      <c r="R36" s="1">
        <f>SUM(N36:N42)/SUM(J36:J42)</f>
        <v>16065.246272604567</v>
      </c>
      <c r="S36" s="4">
        <f>R36-H31</f>
        <v>-434.75372739543309</v>
      </c>
    </row>
    <row r="37" spans="1:19" x14ac:dyDescent="0.35">
      <c r="A37">
        <v>5</v>
      </c>
      <c r="B37">
        <v>150000189</v>
      </c>
      <c r="C37" t="s">
        <v>17</v>
      </c>
      <c r="D37" t="s">
        <v>14</v>
      </c>
      <c r="E37" t="s">
        <v>34</v>
      </c>
      <c r="F37" t="s">
        <v>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15</v>
      </c>
    </row>
    <row r="38" spans="1:19" x14ac:dyDescent="0.35">
      <c r="A38">
        <v>6</v>
      </c>
      <c r="B38">
        <v>150000052</v>
      </c>
      <c r="C38" t="s">
        <v>18</v>
      </c>
      <c r="D38" t="s">
        <v>14</v>
      </c>
      <c r="E38" t="s">
        <v>34</v>
      </c>
      <c r="F38" t="s">
        <v>35</v>
      </c>
      <c r="H38" s="3">
        <v>397762</v>
      </c>
      <c r="I38" s="3">
        <v>161548</v>
      </c>
      <c r="J38" s="3">
        <v>-294442</v>
      </c>
      <c r="K38" s="3">
        <v>264868</v>
      </c>
      <c r="L38" s="1">
        <v>6298876653</v>
      </c>
      <c r="M38" s="1">
        <v>2572994139</v>
      </c>
      <c r="N38" s="1">
        <v>-4661081021</v>
      </c>
      <c r="O38" s="1">
        <v>4210789771</v>
      </c>
      <c r="P38" t="s">
        <v>15</v>
      </c>
    </row>
    <row r="39" spans="1:19" x14ac:dyDescent="0.35">
      <c r="A39">
        <v>7</v>
      </c>
      <c r="B39">
        <v>150000053</v>
      </c>
      <c r="C39" t="s">
        <v>19</v>
      </c>
      <c r="D39" t="s">
        <v>14</v>
      </c>
      <c r="E39" t="s">
        <v>34</v>
      </c>
      <c r="F39" t="s">
        <v>35</v>
      </c>
      <c r="H39" s="3">
        <v>138079</v>
      </c>
      <c r="I39" s="3">
        <v>31280</v>
      </c>
      <c r="J39" s="3">
        <v>-81073</v>
      </c>
      <c r="K39" s="3">
        <v>88286</v>
      </c>
      <c r="L39" s="1">
        <v>2068783945</v>
      </c>
      <c r="M39" s="1">
        <v>519347800</v>
      </c>
      <c r="N39" s="1">
        <v>-1245687863</v>
      </c>
      <c r="O39" s="1">
        <v>1342443882</v>
      </c>
      <c r="P39" t="s">
        <v>15</v>
      </c>
    </row>
    <row r="40" spans="1:19" x14ac:dyDescent="0.35">
      <c r="A40">
        <v>8</v>
      </c>
      <c r="B40">
        <v>150000008</v>
      </c>
      <c r="C40" t="s">
        <v>20</v>
      </c>
      <c r="D40" t="s">
        <v>14</v>
      </c>
      <c r="E40" t="s">
        <v>34</v>
      </c>
      <c r="F40" t="s">
        <v>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15</v>
      </c>
    </row>
    <row r="41" spans="1:19" x14ac:dyDescent="0.35">
      <c r="A41">
        <v>9</v>
      </c>
      <c r="B41">
        <v>150000036</v>
      </c>
      <c r="C41" t="s">
        <v>21</v>
      </c>
      <c r="D41" t="s">
        <v>14</v>
      </c>
      <c r="E41" t="s">
        <v>34</v>
      </c>
      <c r="F41" t="s">
        <v>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15</v>
      </c>
    </row>
    <row r="42" spans="1:19" x14ac:dyDescent="0.35">
      <c r="A42">
        <v>10</v>
      </c>
      <c r="B42">
        <v>150000047</v>
      </c>
      <c r="C42" t="s">
        <v>22</v>
      </c>
      <c r="D42" t="s">
        <v>14</v>
      </c>
      <c r="E42" t="s">
        <v>34</v>
      </c>
      <c r="F42" t="s">
        <v>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15</v>
      </c>
    </row>
    <row r="44" spans="1:19" x14ac:dyDescent="0.35">
      <c r="G44" t="s">
        <v>26</v>
      </c>
      <c r="H44" s="2">
        <v>15000</v>
      </c>
      <c r="I44" s="1">
        <f>SUM(M48:M50)/SUM(I48:I50)</f>
        <v>14849.730817319794</v>
      </c>
      <c r="J44" s="4">
        <f>I44-H44</f>
        <v>-150.26918268020563</v>
      </c>
    </row>
    <row r="45" spans="1:19" x14ac:dyDescent="0.35">
      <c r="G45" t="s">
        <v>27</v>
      </c>
      <c r="H45" s="2">
        <v>16500</v>
      </c>
      <c r="I45" s="1">
        <f>SUM(M51:M57)/SUM(I51:I57)</f>
        <v>16569.122379129734</v>
      </c>
      <c r="J45" s="4">
        <f>I45-H45</f>
        <v>69.122379129734327</v>
      </c>
    </row>
    <row r="46" spans="1:19" x14ac:dyDescent="0.35">
      <c r="B46" t="s">
        <v>37</v>
      </c>
    </row>
    <row r="47" spans="1:19" x14ac:dyDescent="0.35">
      <c r="B47" s="12" t="s">
        <v>0</v>
      </c>
      <c r="C47" s="12" t="s">
        <v>1</v>
      </c>
      <c r="D47" s="12" t="s">
        <v>2</v>
      </c>
      <c r="E47" s="12" t="s">
        <v>3</v>
      </c>
      <c r="F47" s="12" t="s">
        <v>4</v>
      </c>
      <c r="G47" s="12" t="s">
        <v>5</v>
      </c>
      <c r="H47" s="13" t="s">
        <v>6</v>
      </c>
      <c r="I47" s="13" t="s">
        <v>7</v>
      </c>
      <c r="J47" s="13" t="s">
        <v>8</v>
      </c>
      <c r="K47" s="13" t="s">
        <v>9</v>
      </c>
      <c r="L47" s="13" t="s">
        <v>10</v>
      </c>
      <c r="M47" s="13" t="s">
        <v>11</v>
      </c>
      <c r="N47" s="13" t="s">
        <v>12</v>
      </c>
      <c r="O47" s="13" t="s">
        <v>13</v>
      </c>
      <c r="P47"/>
    </row>
    <row r="48" spans="1:19" x14ac:dyDescent="0.35">
      <c r="A48">
        <v>1</v>
      </c>
      <c r="B48">
        <v>150000003</v>
      </c>
      <c r="C48" t="s">
        <v>23</v>
      </c>
      <c r="D48" t="s">
        <v>14</v>
      </c>
      <c r="E48" t="s">
        <v>38</v>
      </c>
      <c r="F48" t="s">
        <v>39</v>
      </c>
      <c r="G48" s="2">
        <v>358617.00400000002</v>
      </c>
      <c r="H48" s="2">
        <v>1192597</v>
      </c>
      <c r="I48" s="2">
        <v>-1202267.004</v>
      </c>
      <c r="J48" s="2">
        <v>348947</v>
      </c>
      <c r="K48" s="2">
        <v>5288733370</v>
      </c>
      <c r="L48" s="2">
        <v>18206673374</v>
      </c>
      <c r="M48" s="1">
        <v>-17851034589</v>
      </c>
      <c r="N48" s="1">
        <v>5644372155</v>
      </c>
      <c r="O48" t="s">
        <v>15</v>
      </c>
      <c r="P48"/>
    </row>
    <row r="49" spans="1:16" x14ac:dyDescent="0.35">
      <c r="A49">
        <v>2</v>
      </c>
      <c r="B49">
        <v>150000113</v>
      </c>
      <c r="C49" t="s">
        <v>24</v>
      </c>
      <c r="D49" t="s">
        <v>14</v>
      </c>
      <c r="E49" t="s">
        <v>38</v>
      </c>
      <c r="F49" t="s">
        <v>39</v>
      </c>
      <c r="G49" s="2">
        <v>402413</v>
      </c>
      <c r="H49" s="2">
        <v>228625</v>
      </c>
      <c r="I49" s="2">
        <v>-50720</v>
      </c>
      <c r="J49" s="2">
        <v>580318</v>
      </c>
      <c r="K49" s="2">
        <v>5985346967</v>
      </c>
      <c r="L49" s="2">
        <v>3513684440</v>
      </c>
      <c r="M49" s="1">
        <v>-755485138</v>
      </c>
      <c r="N49" s="1">
        <v>8743546269</v>
      </c>
      <c r="O49" t="s">
        <v>15</v>
      </c>
      <c r="P49"/>
    </row>
    <row r="50" spans="1:16" x14ac:dyDescent="0.35">
      <c r="A50">
        <v>3</v>
      </c>
      <c r="B50">
        <v>150000187</v>
      </c>
      <c r="C50" t="s">
        <v>25</v>
      </c>
      <c r="D50" t="s">
        <v>14</v>
      </c>
      <c r="E50" t="s">
        <v>38</v>
      </c>
      <c r="F50" t="s">
        <v>39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>
        <v>0</v>
      </c>
      <c r="N50">
        <v>0</v>
      </c>
      <c r="O50" t="s">
        <v>15</v>
      </c>
      <c r="P50"/>
    </row>
    <row r="51" spans="1:16" x14ac:dyDescent="0.35">
      <c r="A51">
        <v>4</v>
      </c>
      <c r="B51">
        <v>150000051</v>
      </c>
      <c r="C51" t="s">
        <v>16</v>
      </c>
      <c r="D51" t="s">
        <v>14</v>
      </c>
      <c r="E51" t="s">
        <v>38</v>
      </c>
      <c r="F51" t="s">
        <v>39</v>
      </c>
      <c r="G51" s="2">
        <v>214793</v>
      </c>
      <c r="H51" s="2">
        <v>841183</v>
      </c>
      <c r="I51" s="14">
        <v>-1021607</v>
      </c>
      <c r="J51" s="14">
        <v>34369</v>
      </c>
      <c r="K51" s="14">
        <v>3534540846</v>
      </c>
      <c r="L51" s="14">
        <v>14408307888</v>
      </c>
      <c r="M51" s="15">
        <v>-17342170554</v>
      </c>
      <c r="N51" s="1">
        <v>600678180</v>
      </c>
      <c r="O51" t="s">
        <v>15</v>
      </c>
      <c r="P51"/>
    </row>
    <row r="52" spans="1:16" x14ac:dyDescent="0.35">
      <c r="A52">
        <v>5</v>
      </c>
      <c r="B52">
        <v>150000189</v>
      </c>
      <c r="C52" t="s">
        <v>17</v>
      </c>
      <c r="D52" t="s">
        <v>14</v>
      </c>
      <c r="E52" t="s">
        <v>38</v>
      </c>
      <c r="F52" t="s">
        <v>39</v>
      </c>
      <c r="G52" s="2">
        <v>0</v>
      </c>
      <c r="H52" s="2">
        <v>0</v>
      </c>
      <c r="I52" s="14">
        <v>0</v>
      </c>
      <c r="J52" s="14">
        <v>0</v>
      </c>
      <c r="K52" s="14">
        <v>0</v>
      </c>
      <c r="L52" s="14">
        <v>0</v>
      </c>
      <c r="M52" s="16">
        <v>0</v>
      </c>
      <c r="N52">
        <v>0</v>
      </c>
      <c r="O52" t="s">
        <v>15</v>
      </c>
      <c r="P52"/>
    </row>
    <row r="53" spans="1:16" x14ac:dyDescent="0.35">
      <c r="A53">
        <v>6</v>
      </c>
      <c r="B53">
        <v>150000052</v>
      </c>
      <c r="C53" t="s">
        <v>18</v>
      </c>
      <c r="D53" t="s">
        <v>14</v>
      </c>
      <c r="E53" t="s">
        <v>38</v>
      </c>
      <c r="F53" t="s">
        <v>39</v>
      </c>
      <c r="G53" s="2">
        <v>264868</v>
      </c>
      <c r="H53" s="2">
        <v>188818</v>
      </c>
      <c r="I53" s="14">
        <v>-308919</v>
      </c>
      <c r="J53" s="14">
        <v>144767</v>
      </c>
      <c r="K53" s="14">
        <v>4210789771</v>
      </c>
      <c r="L53" s="14">
        <v>3116036652</v>
      </c>
      <c r="M53" s="15">
        <v>-4947299648</v>
      </c>
      <c r="N53" s="1">
        <v>2379526775</v>
      </c>
      <c r="O53" t="s">
        <v>15</v>
      </c>
      <c r="P53"/>
    </row>
    <row r="54" spans="1:16" x14ac:dyDescent="0.35">
      <c r="A54">
        <v>7</v>
      </c>
      <c r="B54">
        <v>150000053</v>
      </c>
      <c r="C54" t="s">
        <v>19</v>
      </c>
      <c r="D54" t="s">
        <v>14</v>
      </c>
      <c r="E54" t="s">
        <v>38</v>
      </c>
      <c r="F54" t="s">
        <v>39</v>
      </c>
      <c r="G54" s="2">
        <v>88286</v>
      </c>
      <c r="H54" s="2">
        <v>73970</v>
      </c>
      <c r="I54" s="14">
        <v>-158674</v>
      </c>
      <c r="J54" s="14">
        <v>3582</v>
      </c>
      <c r="K54" s="14">
        <v>1342443882</v>
      </c>
      <c r="L54" s="14">
        <v>1096611300</v>
      </c>
      <c r="M54" s="15">
        <v>-2385266845</v>
      </c>
      <c r="N54" s="1">
        <v>53788337</v>
      </c>
      <c r="O54" t="s">
        <v>15</v>
      </c>
      <c r="P54"/>
    </row>
    <row r="55" spans="1:16" x14ac:dyDescent="0.35">
      <c r="A55">
        <v>8</v>
      </c>
      <c r="B55">
        <v>150000008</v>
      </c>
      <c r="C55" t="s">
        <v>20</v>
      </c>
      <c r="D55" t="s">
        <v>14</v>
      </c>
      <c r="E55" t="s">
        <v>38</v>
      </c>
      <c r="F55" t="s">
        <v>39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>
        <v>0</v>
      </c>
      <c r="N55">
        <v>0</v>
      </c>
      <c r="O55" t="s">
        <v>15</v>
      </c>
      <c r="P55"/>
    </row>
    <row r="56" spans="1:16" x14ac:dyDescent="0.35">
      <c r="A56">
        <v>9</v>
      </c>
      <c r="B56">
        <v>150000036</v>
      </c>
      <c r="C56" t="s">
        <v>21</v>
      </c>
      <c r="D56" t="s">
        <v>14</v>
      </c>
      <c r="E56" t="s">
        <v>38</v>
      </c>
      <c r="F56" t="s">
        <v>39</v>
      </c>
      <c r="G56" s="2">
        <v>0</v>
      </c>
      <c r="H56" s="2">
        <v>24960</v>
      </c>
      <c r="I56" s="2">
        <v>0</v>
      </c>
      <c r="J56" s="2">
        <v>24960</v>
      </c>
      <c r="K56" s="2">
        <v>0</v>
      </c>
      <c r="L56" s="2">
        <v>499200000</v>
      </c>
      <c r="M56">
        <v>0</v>
      </c>
      <c r="N56">
        <v>499200000</v>
      </c>
      <c r="O56" t="s">
        <v>15</v>
      </c>
      <c r="P56"/>
    </row>
    <row r="57" spans="1:16" x14ac:dyDescent="0.35">
      <c r="A57">
        <v>10</v>
      </c>
      <c r="B57">
        <v>150000047</v>
      </c>
      <c r="C57" t="s">
        <v>22</v>
      </c>
      <c r="D57" t="s">
        <v>14</v>
      </c>
      <c r="E57" t="s">
        <v>38</v>
      </c>
      <c r="F57" t="s">
        <v>39</v>
      </c>
      <c r="G57" s="2">
        <v>0</v>
      </c>
      <c r="H57" s="2">
        <v>76340</v>
      </c>
      <c r="I57" s="2">
        <v>0</v>
      </c>
      <c r="J57" s="2">
        <v>76340</v>
      </c>
      <c r="K57" s="2">
        <v>0</v>
      </c>
      <c r="L57" s="2">
        <v>1755820000</v>
      </c>
      <c r="M57">
        <v>0</v>
      </c>
      <c r="N57">
        <v>1755820000</v>
      </c>
      <c r="O57" t="s">
        <v>15</v>
      </c>
      <c r="P57"/>
    </row>
    <row r="68" spans="4:4" x14ac:dyDescent="0.35">
      <c r="D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75A5-AD52-4181-924B-5D5B686C83C9}">
  <dimension ref="B1:P45"/>
  <sheetViews>
    <sheetView workbookViewId="0">
      <selection activeCell="M3" sqref="M3"/>
    </sheetView>
  </sheetViews>
  <sheetFormatPr defaultRowHeight="14.5" x14ac:dyDescent="0.35"/>
  <cols>
    <col min="1" max="1" width="5.36328125" customWidth="1"/>
    <col min="3" max="3" width="9.81640625" bestFit="1" customWidth="1"/>
    <col min="4" max="4" width="22.36328125" bestFit="1" customWidth="1"/>
    <col min="5" max="5" width="4.1796875" hidden="1" customWidth="1"/>
    <col min="6" max="7" width="9.90625" hidden="1" customWidth="1"/>
    <col min="8" max="8" width="11.81640625" bestFit="1" customWidth="1"/>
    <col min="9" max="9" width="12.7265625" bestFit="1" customWidth="1"/>
    <col min="10" max="10" width="16.453125" bestFit="1" customWidth="1"/>
    <col min="11" max="11" width="13.36328125" bestFit="1" customWidth="1"/>
    <col min="12" max="12" width="14.90625" bestFit="1" customWidth="1"/>
    <col min="13" max="13" width="15.1796875" bestFit="1" customWidth="1"/>
    <col min="14" max="14" width="15.453125" bestFit="1" customWidth="1"/>
    <col min="15" max="15" width="14.81640625" bestFit="1" customWidth="1"/>
    <col min="16" max="16" width="5.81640625" bestFit="1" customWidth="1"/>
  </cols>
  <sheetData>
    <row r="1" spans="2:16" x14ac:dyDescent="0.35">
      <c r="I1" s="4">
        <f>SUM(I2:I3)-SUM(J6:J45)</f>
        <v>0</v>
      </c>
      <c r="J1" s="4">
        <f>SUM(J2:J3)-SUM(N6:N45)</f>
        <v>0</v>
      </c>
      <c r="K1" s="9" t="s">
        <v>43</v>
      </c>
      <c r="L1" s="9" t="s">
        <v>41</v>
      </c>
      <c r="M1" s="10" t="s">
        <v>42</v>
      </c>
    </row>
    <row r="2" spans="2:16" x14ac:dyDescent="0.35">
      <c r="H2" s="6" t="s">
        <v>26</v>
      </c>
      <c r="I2" s="7">
        <f t="shared" ref="I2:I3" si="0">SUMIFS($J$6:$J$450,$B$6:$B$450,$H2)</f>
        <v>-4591315.0039999997</v>
      </c>
      <c r="J2" s="7">
        <f>SUMIFS($N$6:$N$450,$B$6:$B$450,$H2)</f>
        <v>-69657889014</v>
      </c>
      <c r="K2" s="7">
        <f>J2/I2</f>
        <v>15171.664099133548</v>
      </c>
      <c r="L2" s="8">
        <v>15000</v>
      </c>
      <c r="M2" s="11">
        <f t="shared" ref="M2:M3" si="1">K2-L2</f>
        <v>171.66409913354801</v>
      </c>
    </row>
    <row r="3" spans="2:16" x14ac:dyDescent="0.35">
      <c r="H3" s="6" t="s">
        <v>40</v>
      </c>
      <c r="I3" s="7">
        <f t="shared" si="0"/>
        <v>-6640821</v>
      </c>
      <c r="J3" s="7">
        <f>SUMIFS($N$6:$N$450,$B$6:$B$450,$H3)</f>
        <v>-107326006709</v>
      </c>
      <c r="K3" s="7">
        <f t="shared" ref="K3" si="2">J3/I3</f>
        <v>16161.556938366506</v>
      </c>
      <c r="L3" s="8">
        <v>16500</v>
      </c>
      <c r="M3" s="11">
        <f t="shared" si="1"/>
        <v>-338.44306163349393</v>
      </c>
    </row>
    <row r="5" spans="2:16" x14ac:dyDescent="0.35">
      <c r="B5" s="12" t="s">
        <v>44</v>
      </c>
      <c r="C5" s="12" t="s">
        <v>0</v>
      </c>
      <c r="D5" s="12" t="s">
        <v>1</v>
      </c>
      <c r="E5" s="12" t="s">
        <v>2</v>
      </c>
      <c r="F5" s="12" t="s">
        <v>3</v>
      </c>
      <c r="G5" s="12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13" t="s">
        <v>13</v>
      </c>
    </row>
    <row r="6" spans="2:16" x14ac:dyDescent="0.35">
      <c r="B6" t="str">
        <f t="shared" ref="B6:B45" si="3">LEFT(D6,4)</f>
        <v>Chai</v>
      </c>
      <c r="C6">
        <v>150000003</v>
      </c>
      <c r="D6" t="s">
        <v>23</v>
      </c>
      <c r="E6" t="s">
        <v>14</v>
      </c>
      <c r="F6" t="s">
        <v>29</v>
      </c>
      <c r="G6" t="s">
        <v>30</v>
      </c>
      <c r="H6" s="2">
        <v>231392.00399999999</v>
      </c>
      <c r="I6" s="2">
        <v>1034231</v>
      </c>
      <c r="J6" s="2">
        <v>-775808</v>
      </c>
      <c r="K6" s="2">
        <v>489815.00400000002</v>
      </c>
      <c r="L6" s="2">
        <v>4057253448</v>
      </c>
      <c r="M6" s="2">
        <v>15509522255</v>
      </c>
      <c r="N6" s="2">
        <v>-12149304370</v>
      </c>
      <c r="O6" s="2">
        <v>7417471333</v>
      </c>
      <c r="P6" s="2" t="s">
        <v>15</v>
      </c>
    </row>
    <row r="7" spans="2:16" x14ac:dyDescent="0.35">
      <c r="B7" t="str">
        <f t="shared" si="3"/>
        <v>Chai</v>
      </c>
      <c r="C7">
        <v>150000113</v>
      </c>
      <c r="D7" t="s">
        <v>24</v>
      </c>
      <c r="E7" t="s">
        <v>14</v>
      </c>
      <c r="F7" t="s">
        <v>29</v>
      </c>
      <c r="G7" t="s">
        <v>30</v>
      </c>
      <c r="H7" s="2">
        <v>261722</v>
      </c>
      <c r="I7" s="2">
        <v>131618</v>
      </c>
      <c r="J7" s="2">
        <v>-79273</v>
      </c>
      <c r="K7" s="2">
        <v>314067</v>
      </c>
      <c r="L7" s="2">
        <v>4095203597</v>
      </c>
      <c r="M7" s="2">
        <v>1974270000</v>
      </c>
      <c r="N7" s="2">
        <v>-1227856537</v>
      </c>
      <c r="O7" s="2">
        <v>4841617060</v>
      </c>
      <c r="P7" s="2" t="s">
        <v>15</v>
      </c>
    </row>
    <row r="8" spans="2:16" x14ac:dyDescent="0.35">
      <c r="B8" t="str">
        <f t="shared" si="3"/>
        <v>Chai</v>
      </c>
      <c r="C8">
        <v>150000187</v>
      </c>
      <c r="D8" t="s">
        <v>25</v>
      </c>
      <c r="E8" t="s">
        <v>14</v>
      </c>
      <c r="F8" t="s">
        <v>29</v>
      </c>
      <c r="G8" t="s">
        <v>30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 t="s">
        <v>15</v>
      </c>
    </row>
    <row r="9" spans="2:16" x14ac:dyDescent="0.35">
      <c r="B9" t="str">
        <f t="shared" si="3"/>
        <v xml:space="preserve">Vảy </v>
      </c>
      <c r="C9">
        <v>150000051</v>
      </c>
      <c r="D9" t="s">
        <v>16</v>
      </c>
      <c r="E9" t="s">
        <v>14</v>
      </c>
      <c r="F9" t="s">
        <v>29</v>
      </c>
      <c r="G9" t="s">
        <v>30</v>
      </c>
      <c r="H9" s="2">
        <v>286878</v>
      </c>
      <c r="I9" s="2">
        <v>1789238</v>
      </c>
      <c r="J9" s="2">
        <v>-1395479</v>
      </c>
      <c r="K9" s="2">
        <v>680637</v>
      </c>
      <c r="L9" s="2">
        <v>4606605727</v>
      </c>
      <c r="M9" s="2">
        <v>28742660584</v>
      </c>
      <c r="N9" s="2">
        <v>-22433345696</v>
      </c>
      <c r="O9" s="2">
        <v>10915920615</v>
      </c>
      <c r="P9" s="2" t="s">
        <v>15</v>
      </c>
    </row>
    <row r="10" spans="2:16" x14ac:dyDescent="0.35">
      <c r="B10" t="str">
        <f t="shared" si="3"/>
        <v xml:space="preserve">Vảy </v>
      </c>
      <c r="C10">
        <v>150000189</v>
      </c>
      <c r="D10" t="s">
        <v>17</v>
      </c>
      <c r="E10" t="s">
        <v>14</v>
      </c>
      <c r="F10" t="s">
        <v>29</v>
      </c>
      <c r="G10" t="s">
        <v>30</v>
      </c>
      <c r="H10" s="2">
        <v>0</v>
      </c>
      <c r="I10" s="2">
        <v>66551</v>
      </c>
      <c r="J10" s="2">
        <v>0</v>
      </c>
      <c r="K10" s="2">
        <v>66551</v>
      </c>
      <c r="L10" s="2">
        <v>0</v>
      </c>
      <c r="M10" s="2">
        <v>1051505800</v>
      </c>
      <c r="N10" s="2">
        <v>0</v>
      </c>
      <c r="O10" s="2">
        <v>1051505800</v>
      </c>
      <c r="P10" s="2" t="s">
        <v>15</v>
      </c>
    </row>
    <row r="11" spans="2:16" x14ac:dyDescent="0.35">
      <c r="B11" t="str">
        <f t="shared" si="3"/>
        <v xml:space="preserve">Vảy </v>
      </c>
      <c r="C11">
        <v>150000052</v>
      </c>
      <c r="D11" t="s">
        <v>18</v>
      </c>
      <c r="E11" t="s">
        <v>14</v>
      </c>
      <c r="F11" t="s">
        <v>29</v>
      </c>
      <c r="G11" t="s">
        <v>30</v>
      </c>
      <c r="H11" s="2">
        <v>196990</v>
      </c>
      <c r="I11" s="2">
        <v>292184</v>
      </c>
      <c r="J11" s="2">
        <v>-132510</v>
      </c>
      <c r="K11" s="2">
        <v>356664</v>
      </c>
      <c r="L11" s="2">
        <v>3281788316</v>
      </c>
      <c r="M11" s="2">
        <v>4574832700</v>
      </c>
      <c r="N11" s="2">
        <v>-2179623108</v>
      </c>
      <c r="O11" s="2">
        <v>5676997908</v>
      </c>
      <c r="P11" s="2" t="s">
        <v>15</v>
      </c>
    </row>
    <row r="12" spans="2:16" x14ac:dyDescent="0.35">
      <c r="B12" t="str">
        <f t="shared" si="3"/>
        <v xml:space="preserve">Vảy </v>
      </c>
      <c r="C12">
        <v>150000053</v>
      </c>
      <c r="D12" t="s">
        <v>19</v>
      </c>
      <c r="E12" t="s">
        <v>14</v>
      </c>
      <c r="F12" t="s">
        <v>29</v>
      </c>
      <c r="G12" t="s">
        <v>30</v>
      </c>
      <c r="H12" s="2">
        <v>21928</v>
      </c>
      <c r="I12" s="2">
        <v>75780</v>
      </c>
      <c r="J12" s="2">
        <v>-56076</v>
      </c>
      <c r="K12" s="2">
        <v>41632</v>
      </c>
      <c r="L12" s="2">
        <v>320701862</v>
      </c>
      <c r="M12" s="2">
        <v>1121544000</v>
      </c>
      <c r="N12" s="2">
        <v>-826856717</v>
      </c>
      <c r="O12" s="2">
        <v>615389145</v>
      </c>
      <c r="P12" s="2" t="s">
        <v>15</v>
      </c>
    </row>
    <row r="13" spans="2:16" x14ac:dyDescent="0.35">
      <c r="B13" t="str">
        <f t="shared" si="3"/>
        <v xml:space="preserve">Vảy </v>
      </c>
      <c r="C13">
        <v>150000008</v>
      </c>
      <c r="D13" t="s">
        <v>20</v>
      </c>
      <c r="E13" t="s">
        <v>14</v>
      </c>
      <c r="F13" t="s">
        <v>29</v>
      </c>
      <c r="G13" t="s">
        <v>30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s">
        <v>15</v>
      </c>
    </row>
    <row r="14" spans="2:16" x14ac:dyDescent="0.35">
      <c r="B14" t="str">
        <f t="shared" si="3"/>
        <v xml:space="preserve">Vảy </v>
      </c>
      <c r="C14">
        <v>150000036</v>
      </c>
      <c r="D14" t="s">
        <v>21</v>
      </c>
      <c r="E14" t="s">
        <v>14</v>
      </c>
      <c r="F14" t="s">
        <v>29</v>
      </c>
      <c r="G14" t="s">
        <v>30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15</v>
      </c>
    </row>
    <row r="15" spans="2:16" x14ac:dyDescent="0.35">
      <c r="B15" t="str">
        <f t="shared" si="3"/>
        <v xml:space="preserve">Vảy </v>
      </c>
      <c r="C15">
        <v>150000047</v>
      </c>
      <c r="D15" t="s">
        <v>22</v>
      </c>
      <c r="E15" t="s">
        <v>14</v>
      </c>
      <c r="F15" t="s">
        <v>29</v>
      </c>
      <c r="G15" t="s">
        <v>30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">
        <v>15</v>
      </c>
    </row>
    <row r="16" spans="2:16" x14ac:dyDescent="0.35">
      <c r="B16" t="str">
        <f t="shared" si="3"/>
        <v>Chai</v>
      </c>
      <c r="C16">
        <v>150000003</v>
      </c>
      <c r="D16" t="s">
        <v>23</v>
      </c>
      <c r="E16" t="s">
        <v>14</v>
      </c>
      <c r="F16" t="s">
        <v>31</v>
      </c>
      <c r="G16" t="s">
        <v>32</v>
      </c>
      <c r="H16" s="2">
        <v>489815.00400000002</v>
      </c>
      <c r="I16" s="2">
        <v>716610</v>
      </c>
      <c r="J16" s="2">
        <v>-797398</v>
      </c>
      <c r="K16" s="2">
        <v>409027.00400000002</v>
      </c>
      <c r="L16" s="2">
        <v>7417471333</v>
      </c>
      <c r="M16" s="2">
        <v>10762003679</v>
      </c>
      <c r="N16" s="2">
        <v>-12020172884</v>
      </c>
      <c r="O16" s="2">
        <v>6159302128</v>
      </c>
      <c r="P16" s="2" t="s">
        <v>15</v>
      </c>
    </row>
    <row r="17" spans="2:16" x14ac:dyDescent="0.35">
      <c r="B17" t="str">
        <f t="shared" si="3"/>
        <v>Chai</v>
      </c>
      <c r="C17">
        <v>150000113</v>
      </c>
      <c r="D17" t="s">
        <v>24</v>
      </c>
      <c r="E17" t="s">
        <v>14</v>
      </c>
      <c r="F17" t="s">
        <v>31</v>
      </c>
      <c r="G17" t="s">
        <v>32</v>
      </c>
      <c r="H17" s="2">
        <v>314067</v>
      </c>
      <c r="I17" s="2">
        <v>140917</v>
      </c>
      <c r="J17" s="2">
        <v>-20699</v>
      </c>
      <c r="K17" s="2">
        <v>434285</v>
      </c>
      <c r="L17" s="2">
        <v>4841617060</v>
      </c>
      <c r="M17" s="2">
        <v>2112056862</v>
      </c>
      <c r="N17" s="2">
        <v>-310485000</v>
      </c>
      <c r="O17" s="2">
        <v>6643188922</v>
      </c>
      <c r="P17" s="2" t="s">
        <v>15</v>
      </c>
    </row>
    <row r="18" spans="2:16" x14ac:dyDescent="0.35">
      <c r="B18" t="str">
        <f t="shared" si="3"/>
        <v>Chai</v>
      </c>
      <c r="C18">
        <v>150000187</v>
      </c>
      <c r="D18" t="s">
        <v>25</v>
      </c>
      <c r="E18" t="s">
        <v>14</v>
      </c>
      <c r="F18" t="s">
        <v>31</v>
      </c>
      <c r="G18" t="s">
        <v>32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s">
        <v>15</v>
      </c>
    </row>
    <row r="19" spans="2:16" x14ac:dyDescent="0.35">
      <c r="B19" t="str">
        <f t="shared" si="3"/>
        <v xml:space="preserve">Vảy </v>
      </c>
      <c r="C19">
        <v>150000051</v>
      </c>
      <c r="D19" t="s">
        <v>16</v>
      </c>
      <c r="E19" t="s">
        <v>14</v>
      </c>
      <c r="F19" t="s">
        <v>31</v>
      </c>
      <c r="G19" t="s">
        <v>32</v>
      </c>
      <c r="H19" s="2">
        <v>680637</v>
      </c>
      <c r="I19" s="2">
        <v>998084</v>
      </c>
      <c r="J19" s="2">
        <v>-1286814</v>
      </c>
      <c r="K19" s="2">
        <v>391907</v>
      </c>
      <c r="L19" s="2">
        <v>10915920615</v>
      </c>
      <c r="M19" s="2">
        <v>15991243754</v>
      </c>
      <c r="N19" s="2">
        <v>-20616849026</v>
      </c>
      <c r="O19" s="2">
        <v>6290315343</v>
      </c>
      <c r="P19" s="2" t="s">
        <v>15</v>
      </c>
    </row>
    <row r="20" spans="2:16" x14ac:dyDescent="0.35">
      <c r="B20" t="str">
        <f t="shared" si="3"/>
        <v xml:space="preserve">Vảy </v>
      </c>
      <c r="C20">
        <v>150000189</v>
      </c>
      <c r="D20" t="s">
        <v>17</v>
      </c>
      <c r="E20" t="s">
        <v>14</v>
      </c>
      <c r="F20" t="s">
        <v>31</v>
      </c>
      <c r="G20" t="s">
        <v>32</v>
      </c>
      <c r="H20" s="2">
        <v>66551</v>
      </c>
      <c r="I20" s="2">
        <v>20861</v>
      </c>
      <c r="J20" s="2">
        <v>-87412</v>
      </c>
      <c r="K20" s="2">
        <v>0</v>
      </c>
      <c r="L20" s="2">
        <v>1051505800</v>
      </c>
      <c r="M20" s="2">
        <v>329603800</v>
      </c>
      <c r="N20" s="2">
        <v>-1381109600</v>
      </c>
      <c r="O20" s="2">
        <v>0</v>
      </c>
      <c r="P20" s="2" t="s">
        <v>15</v>
      </c>
    </row>
    <row r="21" spans="2:16" x14ac:dyDescent="0.35">
      <c r="B21" t="str">
        <f t="shared" si="3"/>
        <v xml:space="preserve">Vảy </v>
      </c>
      <c r="C21">
        <v>150000052</v>
      </c>
      <c r="D21" t="s">
        <v>18</v>
      </c>
      <c r="E21" t="s">
        <v>14</v>
      </c>
      <c r="F21" t="s">
        <v>31</v>
      </c>
      <c r="G21" t="s">
        <v>32</v>
      </c>
      <c r="H21" s="2">
        <v>356664</v>
      </c>
      <c r="I21" s="2">
        <v>177764</v>
      </c>
      <c r="J21" s="2">
        <v>-136666</v>
      </c>
      <c r="K21" s="2">
        <v>397762</v>
      </c>
      <c r="L21" s="2">
        <v>5676997908</v>
      </c>
      <c r="M21" s="2">
        <v>2789462200</v>
      </c>
      <c r="N21" s="2">
        <v>-2167583455</v>
      </c>
      <c r="O21" s="2">
        <v>6298876653</v>
      </c>
      <c r="P21" s="2" t="s">
        <v>15</v>
      </c>
    </row>
    <row r="22" spans="2:16" x14ac:dyDescent="0.35">
      <c r="B22" t="str">
        <f t="shared" si="3"/>
        <v xml:space="preserve">Vảy </v>
      </c>
      <c r="C22">
        <v>150000053</v>
      </c>
      <c r="D22" t="s">
        <v>19</v>
      </c>
      <c r="E22" t="s">
        <v>14</v>
      </c>
      <c r="F22" t="s">
        <v>31</v>
      </c>
      <c r="G22" t="s">
        <v>32</v>
      </c>
      <c r="H22" s="2">
        <v>41632</v>
      </c>
      <c r="I22" s="2">
        <v>96447</v>
      </c>
      <c r="J22" s="2">
        <v>0</v>
      </c>
      <c r="K22" s="2">
        <v>138079</v>
      </c>
      <c r="L22" s="2">
        <v>615389145</v>
      </c>
      <c r="M22" s="2">
        <v>1458483200</v>
      </c>
      <c r="N22" s="2">
        <v>-5088400</v>
      </c>
      <c r="O22" s="2">
        <v>2068783945</v>
      </c>
      <c r="P22" s="2" t="s">
        <v>15</v>
      </c>
    </row>
    <row r="23" spans="2:16" x14ac:dyDescent="0.35">
      <c r="B23" t="str">
        <f t="shared" si="3"/>
        <v xml:space="preserve">Vảy </v>
      </c>
      <c r="C23">
        <v>150000008</v>
      </c>
      <c r="D23" t="s">
        <v>20</v>
      </c>
      <c r="E23" t="s">
        <v>14</v>
      </c>
      <c r="F23" t="s">
        <v>31</v>
      </c>
      <c r="G23" t="s">
        <v>32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 t="s">
        <v>15</v>
      </c>
    </row>
    <row r="24" spans="2:16" x14ac:dyDescent="0.35">
      <c r="B24" t="str">
        <f t="shared" si="3"/>
        <v xml:space="preserve">Vảy </v>
      </c>
      <c r="C24">
        <v>150000036</v>
      </c>
      <c r="D24" t="s">
        <v>21</v>
      </c>
      <c r="E24" t="s">
        <v>14</v>
      </c>
      <c r="F24" t="s">
        <v>31</v>
      </c>
      <c r="G24" t="s">
        <v>32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15</v>
      </c>
    </row>
    <row r="25" spans="2:16" x14ac:dyDescent="0.35">
      <c r="B25" t="str">
        <f t="shared" si="3"/>
        <v xml:space="preserve">Vảy </v>
      </c>
      <c r="C25">
        <v>150000047</v>
      </c>
      <c r="D25" t="s">
        <v>22</v>
      </c>
      <c r="E25" t="s">
        <v>14</v>
      </c>
      <c r="F25" t="s">
        <v>31</v>
      </c>
      <c r="G25" t="s">
        <v>32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 t="s">
        <v>15</v>
      </c>
    </row>
    <row r="26" spans="2:16" x14ac:dyDescent="0.35">
      <c r="B26" t="str">
        <f t="shared" si="3"/>
        <v>Chai</v>
      </c>
      <c r="C26">
        <v>150000003</v>
      </c>
      <c r="D26" t="s">
        <v>23</v>
      </c>
      <c r="E26" t="s">
        <v>14</v>
      </c>
      <c r="F26" t="s">
        <v>34</v>
      </c>
      <c r="G26" t="s">
        <v>35</v>
      </c>
      <c r="H26" s="2">
        <v>409027.00400000002</v>
      </c>
      <c r="I26" s="2">
        <v>1007823</v>
      </c>
      <c r="J26" s="2">
        <v>-1058233</v>
      </c>
      <c r="K26" s="2">
        <v>358617.00400000002</v>
      </c>
      <c r="L26" s="2">
        <v>6159302128</v>
      </c>
      <c r="M26" s="2">
        <v>15319941743</v>
      </c>
      <c r="N26" s="2">
        <v>-16190510501</v>
      </c>
      <c r="O26" s="2">
        <v>5288733370</v>
      </c>
      <c r="P26" s="2" t="s">
        <v>15</v>
      </c>
    </row>
    <row r="27" spans="2:16" x14ac:dyDescent="0.35">
      <c r="B27" t="str">
        <f t="shared" si="3"/>
        <v>Chai</v>
      </c>
      <c r="C27">
        <v>150000113</v>
      </c>
      <c r="D27" t="s">
        <v>24</v>
      </c>
      <c r="E27" t="s">
        <v>14</v>
      </c>
      <c r="F27" t="s">
        <v>34</v>
      </c>
      <c r="G27" t="s">
        <v>35</v>
      </c>
      <c r="H27" s="2">
        <v>434285</v>
      </c>
      <c r="I27" s="2">
        <v>575045</v>
      </c>
      <c r="J27" s="2">
        <v>-606917</v>
      </c>
      <c r="K27" s="2">
        <v>402413</v>
      </c>
      <c r="L27" s="2">
        <v>6643188922</v>
      </c>
      <c r="M27" s="2">
        <v>8495198040</v>
      </c>
      <c r="N27" s="2">
        <v>-9153039995</v>
      </c>
      <c r="O27" s="2">
        <v>5985346967</v>
      </c>
      <c r="P27" s="2" t="s">
        <v>15</v>
      </c>
    </row>
    <row r="28" spans="2:16" x14ac:dyDescent="0.35">
      <c r="B28" t="str">
        <f t="shared" si="3"/>
        <v>Chai</v>
      </c>
      <c r="C28">
        <v>150000187</v>
      </c>
      <c r="D28" t="s">
        <v>25</v>
      </c>
      <c r="E28" t="s">
        <v>14</v>
      </c>
      <c r="F28" t="s">
        <v>34</v>
      </c>
      <c r="G28" t="s">
        <v>35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15</v>
      </c>
    </row>
    <row r="29" spans="2:16" x14ac:dyDescent="0.35">
      <c r="B29" t="str">
        <f t="shared" si="3"/>
        <v xml:space="preserve">Vảy </v>
      </c>
      <c r="C29">
        <v>150000051</v>
      </c>
      <c r="D29" t="s">
        <v>16</v>
      </c>
      <c r="E29" t="s">
        <v>14</v>
      </c>
      <c r="F29" t="s">
        <v>34</v>
      </c>
      <c r="G29" t="s">
        <v>35</v>
      </c>
      <c r="H29" s="2">
        <v>391907</v>
      </c>
      <c r="I29" s="2">
        <v>1504035</v>
      </c>
      <c r="J29" s="2">
        <v>-1681149</v>
      </c>
      <c r="K29" s="2">
        <v>214793</v>
      </c>
      <c r="L29" s="2">
        <v>6290315343</v>
      </c>
      <c r="M29" s="2">
        <v>24378270279</v>
      </c>
      <c r="N29" s="2">
        <v>-27134044776</v>
      </c>
      <c r="O29" s="2">
        <v>3534540846</v>
      </c>
      <c r="P29" s="2" t="s">
        <v>15</v>
      </c>
    </row>
    <row r="30" spans="2:16" x14ac:dyDescent="0.35">
      <c r="B30" t="str">
        <f t="shared" si="3"/>
        <v xml:space="preserve">Vảy </v>
      </c>
      <c r="C30">
        <v>150000189</v>
      </c>
      <c r="D30" t="s">
        <v>17</v>
      </c>
      <c r="E30" t="s">
        <v>14</v>
      </c>
      <c r="F30" t="s">
        <v>34</v>
      </c>
      <c r="G30" t="s">
        <v>35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 t="s">
        <v>15</v>
      </c>
    </row>
    <row r="31" spans="2:16" x14ac:dyDescent="0.35">
      <c r="B31" t="str">
        <f t="shared" si="3"/>
        <v xml:space="preserve">Vảy </v>
      </c>
      <c r="C31">
        <v>150000052</v>
      </c>
      <c r="D31" t="s">
        <v>18</v>
      </c>
      <c r="E31" t="s">
        <v>14</v>
      </c>
      <c r="F31" t="s">
        <v>34</v>
      </c>
      <c r="G31" t="s">
        <v>35</v>
      </c>
      <c r="H31" s="2">
        <v>397762</v>
      </c>
      <c r="I31" s="2">
        <v>161548</v>
      </c>
      <c r="J31" s="2">
        <v>-294442</v>
      </c>
      <c r="K31" s="2">
        <v>264868</v>
      </c>
      <c r="L31" s="2">
        <v>6298876653</v>
      </c>
      <c r="M31" s="2">
        <v>2572994139</v>
      </c>
      <c r="N31" s="2">
        <v>-4661081021</v>
      </c>
      <c r="O31" s="2">
        <v>4210789771</v>
      </c>
      <c r="P31" s="2" t="s">
        <v>15</v>
      </c>
    </row>
    <row r="32" spans="2:16" x14ac:dyDescent="0.35">
      <c r="B32" t="str">
        <f t="shared" si="3"/>
        <v xml:space="preserve">Vảy </v>
      </c>
      <c r="C32">
        <v>150000053</v>
      </c>
      <c r="D32" t="s">
        <v>19</v>
      </c>
      <c r="E32" t="s">
        <v>14</v>
      </c>
      <c r="F32" t="s">
        <v>34</v>
      </c>
      <c r="G32" t="s">
        <v>35</v>
      </c>
      <c r="H32" s="2">
        <v>138079</v>
      </c>
      <c r="I32" s="2">
        <v>31280</v>
      </c>
      <c r="J32" s="2">
        <v>-81073</v>
      </c>
      <c r="K32" s="2">
        <v>88286</v>
      </c>
      <c r="L32" s="2">
        <v>2068783945</v>
      </c>
      <c r="M32" s="2">
        <v>519347800</v>
      </c>
      <c r="N32" s="2">
        <v>-1245687863</v>
      </c>
      <c r="O32" s="2">
        <v>1342443882</v>
      </c>
      <c r="P32" s="2" t="s">
        <v>15</v>
      </c>
    </row>
    <row r="33" spans="2:16" x14ac:dyDescent="0.35">
      <c r="B33" t="str">
        <f t="shared" si="3"/>
        <v xml:space="preserve">Vảy </v>
      </c>
      <c r="C33">
        <v>150000008</v>
      </c>
      <c r="D33" t="s">
        <v>20</v>
      </c>
      <c r="E33" t="s">
        <v>14</v>
      </c>
      <c r="F33" t="s">
        <v>34</v>
      </c>
      <c r="G33" t="s">
        <v>35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15</v>
      </c>
    </row>
    <row r="34" spans="2:16" x14ac:dyDescent="0.35">
      <c r="B34" t="str">
        <f t="shared" si="3"/>
        <v xml:space="preserve">Vảy </v>
      </c>
      <c r="C34">
        <v>150000036</v>
      </c>
      <c r="D34" t="s">
        <v>21</v>
      </c>
      <c r="E34" t="s">
        <v>14</v>
      </c>
      <c r="F34" t="s">
        <v>34</v>
      </c>
      <c r="G34" t="s">
        <v>35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">
        <v>15</v>
      </c>
    </row>
    <row r="35" spans="2:16" x14ac:dyDescent="0.35">
      <c r="B35" t="str">
        <f t="shared" si="3"/>
        <v xml:space="preserve">Vảy </v>
      </c>
      <c r="C35">
        <v>150000047</v>
      </c>
      <c r="D35" t="s">
        <v>22</v>
      </c>
      <c r="E35" t="s">
        <v>14</v>
      </c>
      <c r="F35" t="s">
        <v>34</v>
      </c>
      <c r="G35" t="s">
        <v>35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s">
        <v>15</v>
      </c>
    </row>
    <row r="36" spans="2:16" x14ac:dyDescent="0.35">
      <c r="B36" t="str">
        <f t="shared" si="3"/>
        <v>Chai</v>
      </c>
      <c r="C36">
        <v>150000003</v>
      </c>
      <c r="D36" t="s">
        <v>23</v>
      </c>
      <c r="E36" t="s">
        <v>14</v>
      </c>
      <c r="F36" t="s">
        <v>38</v>
      </c>
      <c r="G36" t="s">
        <v>39</v>
      </c>
      <c r="H36" s="2">
        <v>358617.00400000002</v>
      </c>
      <c r="I36" s="2">
        <v>1192597</v>
      </c>
      <c r="J36" s="2">
        <v>-1202267.004</v>
      </c>
      <c r="K36" s="2">
        <v>348947</v>
      </c>
      <c r="L36" s="2">
        <v>5288733370</v>
      </c>
      <c r="M36" s="2">
        <v>18206673374</v>
      </c>
      <c r="N36" s="2">
        <v>-17851034589</v>
      </c>
      <c r="O36" s="2">
        <v>5644372155</v>
      </c>
      <c r="P36" s="2" t="s">
        <v>15</v>
      </c>
    </row>
    <row r="37" spans="2:16" x14ac:dyDescent="0.35">
      <c r="B37" t="str">
        <f t="shared" si="3"/>
        <v>Chai</v>
      </c>
      <c r="C37">
        <v>150000113</v>
      </c>
      <c r="D37" t="s">
        <v>24</v>
      </c>
      <c r="E37" t="s">
        <v>14</v>
      </c>
      <c r="F37" t="s">
        <v>38</v>
      </c>
      <c r="G37" t="s">
        <v>39</v>
      </c>
      <c r="H37" s="2">
        <v>402413</v>
      </c>
      <c r="I37" s="2">
        <v>228625</v>
      </c>
      <c r="J37" s="2">
        <v>-50720</v>
      </c>
      <c r="K37" s="2">
        <v>580318</v>
      </c>
      <c r="L37" s="2">
        <v>5985346967</v>
      </c>
      <c r="M37" s="2">
        <v>3513684440</v>
      </c>
      <c r="N37" s="2">
        <v>-755485138</v>
      </c>
      <c r="O37" s="2">
        <v>8743546269</v>
      </c>
      <c r="P37" s="2" t="s">
        <v>15</v>
      </c>
    </row>
    <row r="38" spans="2:16" x14ac:dyDescent="0.35">
      <c r="B38" t="str">
        <f t="shared" si="3"/>
        <v>Chai</v>
      </c>
      <c r="C38">
        <v>150000187</v>
      </c>
      <c r="D38" t="s">
        <v>25</v>
      </c>
      <c r="E38" t="s">
        <v>14</v>
      </c>
      <c r="F38" t="s">
        <v>38</v>
      </c>
      <c r="G38" t="s">
        <v>39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 t="s">
        <v>15</v>
      </c>
    </row>
    <row r="39" spans="2:16" x14ac:dyDescent="0.35">
      <c r="B39" t="str">
        <f t="shared" si="3"/>
        <v xml:space="preserve">Vảy </v>
      </c>
      <c r="C39">
        <v>150000051</v>
      </c>
      <c r="D39" t="s">
        <v>16</v>
      </c>
      <c r="E39" t="s">
        <v>14</v>
      </c>
      <c r="F39" t="s">
        <v>38</v>
      </c>
      <c r="G39" t="s">
        <v>39</v>
      </c>
      <c r="H39" s="2">
        <v>214793</v>
      </c>
      <c r="I39" s="2">
        <v>841183</v>
      </c>
      <c r="J39" s="2">
        <v>-1021607</v>
      </c>
      <c r="K39" s="2">
        <v>34369</v>
      </c>
      <c r="L39" s="2">
        <v>3534540846</v>
      </c>
      <c r="M39" s="2">
        <v>14408307888</v>
      </c>
      <c r="N39" s="2">
        <v>-17342170554</v>
      </c>
      <c r="O39" s="2">
        <v>600678180</v>
      </c>
      <c r="P39" s="2" t="s">
        <v>15</v>
      </c>
    </row>
    <row r="40" spans="2:16" x14ac:dyDescent="0.35">
      <c r="B40" t="str">
        <f t="shared" si="3"/>
        <v xml:space="preserve">Vảy </v>
      </c>
      <c r="C40">
        <v>150000189</v>
      </c>
      <c r="D40" t="s">
        <v>17</v>
      </c>
      <c r="E40" t="s">
        <v>14</v>
      </c>
      <c r="F40" t="s">
        <v>38</v>
      </c>
      <c r="G40" t="s">
        <v>39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s">
        <v>15</v>
      </c>
    </row>
    <row r="41" spans="2:16" x14ac:dyDescent="0.35">
      <c r="B41" t="str">
        <f t="shared" si="3"/>
        <v xml:space="preserve">Vảy </v>
      </c>
      <c r="C41">
        <v>150000052</v>
      </c>
      <c r="D41" t="s">
        <v>18</v>
      </c>
      <c r="E41" t="s">
        <v>14</v>
      </c>
      <c r="F41" t="s">
        <v>38</v>
      </c>
      <c r="G41" t="s">
        <v>39</v>
      </c>
      <c r="H41" s="2">
        <v>264868</v>
      </c>
      <c r="I41" s="2">
        <v>188818</v>
      </c>
      <c r="J41" s="2">
        <v>-308919</v>
      </c>
      <c r="K41" s="2">
        <v>144767</v>
      </c>
      <c r="L41" s="2">
        <v>4210789771</v>
      </c>
      <c r="M41" s="2">
        <v>3116036652</v>
      </c>
      <c r="N41" s="2">
        <v>-4947299648</v>
      </c>
      <c r="O41" s="2">
        <v>2379526775</v>
      </c>
      <c r="P41" s="2" t="s">
        <v>15</v>
      </c>
    </row>
    <row r="42" spans="2:16" x14ac:dyDescent="0.35">
      <c r="B42" t="str">
        <f t="shared" si="3"/>
        <v xml:space="preserve">Vảy </v>
      </c>
      <c r="C42">
        <v>150000053</v>
      </c>
      <c r="D42" t="s">
        <v>19</v>
      </c>
      <c r="E42" t="s">
        <v>14</v>
      </c>
      <c r="F42" t="s">
        <v>38</v>
      </c>
      <c r="G42" t="s">
        <v>39</v>
      </c>
      <c r="H42" s="2">
        <v>88286</v>
      </c>
      <c r="I42" s="2">
        <v>73970</v>
      </c>
      <c r="J42" s="2">
        <v>-158674</v>
      </c>
      <c r="K42" s="2">
        <v>3582</v>
      </c>
      <c r="L42" s="2">
        <v>1342443882</v>
      </c>
      <c r="M42" s="2">
        <v>1096611300</v>
      </c>
      <c r="N42" s="2">
        <v>-2385266845</v>
      </c>
      <c r="O42" s="2">
        <v>53788337</v>
      </c>
      <c r="P42" s="2" t="s">
        <v>15</v>
      </c>
    </row>
    <row r="43" spans="2:16" x14ac:dyDescent="0.35">
      <c r="B43" t="str">
        <f t="shared" si="3"/>
        <v xml:space="preserve">Vảy </v>
      </c>
      <c r="C43">
        <v>150000008</v>
      </c>
      <c r="D43" t="s">
        <v>20</v>
      </c>
      <c r="E43" t="s">
        <v>14</v>
      </c>
      <c r="F43" t="s">
        <v>38</v>
      </c>
      <c r="G43" t="s">
        <v>39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s">
        <v>15</v>
      </c>
    </row>
    <row r="44" spans="2:16" x14ac:dyDescent="0.35">
      <c r="B44" t="str">
        <f t="shared" si="3"/>
        <v xml:space="preserve">Vảy </v>
      </c>
      <c r="C44">
        <v>150000036</v>
      </c>
      <c r="D44" t="s">
        <v>21</v>
      </c>
      <c r="E44" t="s">
        <v>14</v>
      </c>
      <c r="F44" t="s">
        <v>38</v>
      </c>
      <c r="G44" t="s">
        <v>39</v>
      </c>
      <c r="H44" s="2">
        <v>0</v>
      </c>
      <c r="I44" s="2">
        <v>24960</v>
      </c>
      <c r="J44" s="2">
        <v>0</v>
      </c>
      <c r="K44" s="2">
        <v>24960</v>
      </c>
      <c r="L44" s="2">
        <v>0</v>
      </c>
      <c r="M44" s="2">
        <v>499200000</v>
      </c>
      <c r="N44" s="2">
        <v>0</v>
      </c>
      <c r="O44" s="2">
        <v>499200000</v>
      </c>
      <c r="P44" s="2" t="s">
        <v>15</v>
      </c>
    </row>
    <row r="45" spans="2:16" x14ac:dyDescent="0.35">
      <c r="B45" t="str">
        <f t="shared" si="3"/>
        <v xml:space="preserve">Vảy </v>
      </c>
      <c r="C45">
        <v>150000047</v>
      </c>
      <c r="D45" t="s">
        <v>22</v>
      </c>
      <c r="E45" t="s">
        <v>14</v>
      </c>
      <c r="F45" t="s">
        <v>38</v>
      </c>
      <c r="G45" t="s">
        <v>39</v>
      </c>
      <c r="H45" s="2">
        <v>0</v>
      </c>
      <c r="I45" s="2">
        <v>76340</v>
      </c>
      <c r="J45" s="2">
        <v>0</v>
      </c>
      <c r="K45" s="2">
        <v>76340</v>
      </c>
      <c r="L45" s="2">
        <v>0</v>
      </c>
      <c r="M45" s="2">
        <v>1755820000</v>
      </c>
      <c r="N45" s="2">
        <v>0</v>
      </c>
      <c r="O45" s="2">
        <v>1755820000</v>
      </c>
      <c r="P45" s="2" t="s">
        <v>15</v>
      </c>
    </row>
  </sheetData>
  <autoFilter ref="B5:P5" xr:uid="{3AE275A5-AD52-4181-924B-5D5B686C83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Giá TB hàng tháng</vt:lpstr>
      <vt:lpstr>Giá BQ lũy kế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Trúc, Nguyễn Thị Thanh</dc:creator>
  <cp:lastModifiedBy>Trúc, Nguyễn Thị Thanh</cp:lastModifiedBy>
  <dcterms:created xsi:type="dcterms:W3CDTF">2026-02-09T13:49:15Z</dcterms:created>
  <dcterms:modified xsi:type="dcterms:W3CDTF">2026-05-11T06:59:41Z</dcterms:modified>
</cp:coreProperties>
</file>